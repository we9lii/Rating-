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KrakenLz\Downloads\"/>
    </mc:Choice>
  </mc:AlternateContent>
  <xr:revisionPtr revIDLastSave="0" documentId="13_ncr:1_{F6C427AB-E1F9-48E4-81E3-709AE9DDD050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الربع الأول 2024" sheetId="1" r:id="rId1"/>
    <sheet name="الربع الثاني 2024" sheetId="3" r:id="rId2"/>
    <sheet name="الربع الثالث 2024" sheetId="4" r:id="rId3"/>
    <sheet name="الربع الرابع 2024" sheetId="5" r:id="rId4"/>
    <sheet name="التقييم الشامل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6" i="1" l="1"/>
  <c r="J397" i="1" s="1"/>
  <c r="F396" i="1"/>
  <c r="F397" i="1" s="1"/>
  <c r="J400" i="5"/>
  <c r="J401" i="5" s="1"/>
  <c r="F400" i="5"/>
  <c r="F401" i="5" s="1"/>
  <c r="J378" i="5"/>
  <c r="J379" i="5" s="1"/>
  <c r="F378" i="5"/>
  <c r="F379" i="5" s="1"/>
  <c r="J348" i="5"/>
  <c r="J349" i="5" s="1"/>
  <c r="F348" i="5"/>
  <c r="F349" i="5" s="1"/>
  <c r="J318" i="5"/>
  <c r="J319" i="5" s="1"/>
  <c r="F318" i="5"/>
  <c r="F319" i="5" s="1"/>
  <c r="J288" i="5"/>
  <c r="J289" i="5" s="1"/>
  <c r="F288" i="5"/>
  <c r="F289" i="5" s="1"/>
  <c r="J258" i="5"/>
  <c r="J259" i="5" s="1"/>
  <c r="F258" i="5"/>
  <c r="F259" i="5" s="1"/>
  <c r="J228" i="5"/>
  <c r="J229" i="5" s="1"/>
  <c r="F228" i="5"/>
  <c r="F229" i="5" s="1"/>
  <c r="J198" i="5"/>
  <c r="J199" i="5" s="1"/>
  <c r="F198" i="5"/>
  <c r="F199" i="5" s="1"/>
  <c r="J168" i="5"/>
  <c r="J169" i="5" s="1"/>
  <c r="F168" i="5"/>
  <c r="F169" i="5" s="1"/>
  <c r="J138" i="5"/>
  <c r="J139" i="5" s="1"/>
  <c r="F138" i="5"/>
  <c r="F139" i="5" s="1"/>
  <c r="J108" i="5"/>
  <c r="J109" i="5" s="1"/>
  <c r="F108" i="5"/>
  <c r="F109" i="5" s="1"/>
  <c r="J78" i="5"/>
  <c r="J79" i="5" s="1"/>
  <c r="F78" i="5"/>
  <c r="F79" i="5" s="1"/>
  <c r="J48" i="5"/>
  <c r="J49" i="5" s="1"/>
  <c r="F48" i="5"/>
  <c r="F49" i="5" s="1"/>
  <c r="J18" i="5"/>
  <c r="J19" i="5" s="1"/>
  <c r="F18" i="5"/>
  <c r="J399" i="4"/>
  <c r="J400" i="4" s="1"/>
  <c r="F399" i="4"/>
  <c r="F400" i="4" s="1"/>
  <c r="J381" i="4"/>
  <c r="J382" i="4" s="1"/>
  <c r="F381" i="4"/>
  <c r="F382" i="4" s="1"/>
  <c r="J351" i="4"/>
  <c r="J352" i="4" s="1"/>
  <c r="F351" i="4"/>
  <c r="F352" i="4" s="1"/>
  <c r="J321" i="4"/>
  <c r="J322" i="4" s="1"/>
  <c r="F321" i="4"/>
  <c r="F322" i="4" s="1"/>
  <c r="J291" i="4"/>
  <c r="J292" i="4" s="1"/>
  <c r="F291" i="4"/>
  <c r="F292" i="4" s="1"/>
  <c r="J261" i="4"/>
  <c r="J262" i="4" s="1"/>
  <c r="F261" i="4"/>
  <c r="F262" i="4" s="1"/>
  <c r="J231" i="4"/>
  <c r="J232" i="4" s="1"/>
  <c r="F231" i="4"/>
  <c r="F232" i="4" s="1"/>
  <c r="J201" i="4"/>
  <c r="J202" i="4" s="1"/>
  <c r="F201" i="4"/>
  <c r="F202" i="4" s="1"/>
  <c r="J171" i="4"/>
  <c r="J172" i="4" s="1"/>
  <c r="F171" i="4"/>
  <c r="F172" i="4" s="1"/>
  <c r="J141" i="4"/>
  <c r="J142" i="4" s="1"/>
  <c r="F141" i="4"/>
  <c r="F142" i="4" s="1"/>
  <c r="J111" i="4"/>
  <c r="J112" i="4" s="1"/>
  <c r="F111" i="4"/>
  <c r="F112" i="4" s="1"/>
  <c r="J81" i="4"/>
  <c r="J82" i="4" s="1"/>
  <c r="F81" i="4"/>
  <c r="F82" i="4" s="1"/>
  <c r="J51" i="4"/>
  <c r="J52" i="4" s="1"/>
  <c r="F51" i="4"/>
  <c r="F52" i="4" s="1"/>
  <c r="J21" i="4"/>
  <c r="J22" i="4" s="1"/>
  <c r="F21" i="4"/>
  <c r="F22" i="4" s="1"/>
  <c r="J399" i="3"/>
  <c r="J400" i="3" s="1"/>
  <c r="F399" i="3"/>
  <c r="F400" i="3" s="1"/>
  <c r="J381" i="3"/>
  <c r="J382" i="3" s="1"/>
  <c r="F381" i="3"/>
  <c r="F382" i="3" s="1"/>
  <c r="J351" i="3"/>
  <c r="J352" i="3" s="1"/>
  <c r="F351" i="3"/>
  <c r="F352" i="3" s="1"/>
  <c r="J321" i="3"/>
  <c r="J322" i="3" s="1"/>
  <c r="F321" i="3"/>
  <c r="F322" i="3" s="1"/>
  <c r="J291" i="3"/>
  <c r="J292" i="3" s="1"/>
  <c r="F291" i="3"/>
  <c r="F292" i="3" s="1"/>
  <c r="J261" i="3"/>
  <c r="J262" i="3" s="1"/>
  <c r="F261" i="3"/>
  <c r="F262" i="3" s="1"/>
  <c r="J231" i="3"/>
  <c r="J232" i="3" s="1"/>
  <c r="F231" i="3"/>
  <c r="F232" i="3" s="1"/>
  <c r="J201" i="3"/>
  <c r="J202" i="3" s="1"/>
  <c r="F201" i="3"/>
  <c r="F202" i="3" s="1"/>
  <c r="J171" i="3"/>
  <c r="J172" i="3" s="1"/>
  <c r="F171" i="3"/>
  <c r="F172" i="3" s="1"/>
  <c r="J141" i="3"/>
  <c r="J142" i="3" s="1"/>
  <c r="F141" i="3"/>
  <c r="F142" i="3" s="1"/>
  <c r="J111" i="3"/>
  <c r="J112" i="3" s="1"/>
  <c r="F111" i="3"/>
  <c r="F112" i="3" s="1"/>
  <c r="J81" i="3"/>
  <c r="J82" i="3" s="1"/>
  <c r="F81" i="3"/>
  <c r="F82" i="3" s="1"/>
  <c r="J51" i="3"/>
  <c r="J52" i="3" s="1"/>
  <c r="F51" i="3"/>
  <c r="F52" i="3" s="1"/>
  <c r="J21" i="3"/>
  <c r="J22" i="3" s="1"/>
  <c r="F21" i="3"/>
  <c r="F22" i="3" s="1"/>
  <c r="F19" i="5" l="1"/>
  <c r="F2" i="5" s="1"/>
  <c r="C8" i="6" s="1"/>
  <c r="F1" i="3"/>
  <c r="C6" i="6" s="1"/>
  <c r="J2" i="5"/>
  <c r="D8" i="6" s="1"/>
  <c r="F1" i="4"/>
  <c r="C7" i="6" s="1"/>
  <c r="J1" i="4"/>
  <c r="D7" i="6" s="1"/>
  <c r="J1" i="3"/>
  <c r="D6" i="6" s="1"/>
  <c r="J382" i="1"/>
  <c r="J383" i="1" s="1"/>
  <c r="F382" i="1"/>
  <c r="F383" i="1" s="1"/>
  <c r="J352" i="1"/>
  <c r="J353" i="1" s="1"/>
  <c r="F352" i="1"/>
  <c r="F353" i="1" s="1"/>
  <c r="J322" i="1"/>
  <c r="J323" i="1" s="1"/>
  <c r="F322" i="1"/>
  <c r="F323" i="1" s="1"/>
  <c r="J292" i="1"/>
  <c r="J293" i="1" s="1"/>
  <c r="F292" i="1"/>
  <c r="F293" i="1" s="1"/>
  <c r="J262" i="1"/>
  <c r="J263" i="1" s="1"/>
  <c r="F262" i="1"/>
  <c r="F263" i="1" s="1"/>
  <c r="J232" i="1"/>
  <c r="J233" i="1" s="1"/>
  <c r="F232" i="1"/>
  <c r="F233" i="1" s="1"/>
  <c r="J202" i="1"/>
  <c r="J203" i="1" s="1"/>
  <c r="F202" i="1"/>
  <c r="F203" i="1" s="1"/>
  <c r="J172" i="1"/>
  <c r="J173" i="1" s="1"/>
  <c r="F172" i="1"/>
  <c r="F173" i="1" s="1"/>
  <c r="J142" i="1"/>
  <c r="J143" i="1" s="1"/>
  <c r="F142" i="1"/>
  <c r="F143" i="1" s="1"/>
  <c r="J112" i="1"/>
  <c r="J113" i="1" s="1"/>
  <c r="F112" i="1"/>
  <c r="F113" i="1" s="1"/>
  <c r="J82" i="1"/>
  <c r="J83" i="1" s="1"/>
  <c r="F82" i="1"/>
  <c r="F83" i="1" s="1"/>
  <c r="J52" i="1"/>
  <c r="J53" i="1" s="1"/>
  <c r="F52" i="1"/>
  <c r="F53" i="1" s="1"/>
  <c r="J22" i="1"/>
  <c r="J23" i="1" s="1"/>
  <c r="F22" i="1"/>
  <c r="F23" i="1" s="1"/>
  <c r="F2" i="1" l="1"/>
  <c r="C5" i="6" s="1"/>
  <c r="C9" i="6" s="1"/>
  <c r="J2" i="1"/>
  <c r="D5" i="6" s="1"/>
  <c r="D9" i="6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<sst xmlns="http://schemas.openxmlformats.org/spreadsheetml/2006/main" count="4236" uniqueCount="106">
  <si>
    <t xml:space="preserve">الخطة والتقرير الأسبوعي </t>
  </si>
  <si>
    <t>تقرير الأسبوع الحالي من    /   /2024</t>
  </si>
  <si>
    <t xml:space="preserve">اليوم </t>
  </si>
  <si>
    <t xml:space="preserve">المهمة </t>
  </si>
  <si>
    <t>الإنجاز</t>
  </si>
  <si>
    <t>السبب</t>
  </si>
  <si>
    <t xml:space="preserve">المهنة </t>
  </si>
  <si>
    <t>درجة الأهمية</t>
  </si>
  <si>
    <t xml:space="preserve">عاجلة </t>
  </si>
  <si>
    <t xml:space="preserve">السبت </t>
  </si>
  <si>
    <t xml:space="preserve">تم </t>
  </si>
  <si>
    <t xml:space="preserve"> </t>
  </si>
  <si>
    <t xml:space="preserve">الاحد </t>
  </si>
  <si>
    <t xml:space="preserve">الاثنين </t>
  </si>
  <si>
    <t xml:space="preserve">الثلاثاء </t>
  </si>
  <si>
    <t>الأربعاء</t>
  </si>
  <si>
    <t xml:space="preserve">الخميس </t>
  </si>
  <si>
    <t>خطة الأسبوع  من    /    / 2024</t>
  </si>
  <si>
    <t>تقييم درجة الإنجاز من 10</t>
  </si>
  <si>
    <t>تقييم أهمية المهمة من11</t>
  </si>
  <si>
    <t>مجموع النقاط من 240</t>
  </si>
  <si>
    <t>تقييم الخطة</t>
  </si>
  <si>
    <t>تقييم الأداء للأسبوع</t>
  </si>
  <si>
    <t xml:space="preserve">تقييم خطتك </t>
  </si>
  <si>
    <t xml:space="preserve">تقييم ادائك حتى اليوم </t>
  </si>
  <si>
    <t>التقويم الأسبوعي</t>
  </si>
  <si>
    <t xml:space="preserve">التقييم الشامل للخطة والتقارير </t>
  </si>
  <si>
    <t xml:space="preserve">الخطة </t>
  </si>
  <si>
    <t>التقرير</t>
  </si>
  <si>
    <t xml:space="preserve">الربع </t>
  </si>
  <si>
    <t xml:space="preserve">الأول </t>
  </si>
  <si>
    <t>الثاني</t>
  </si>
  <si>
    <t>الثالث</t>
  </si>
  <si>
    <t>الرابع</t>
  </si>
  <si>
    <t>النهائي</t>
  </si>
  <si>
    <t>مجموع النقاط من 80</t>
  </si>
  <si>
    <t>مجموع النقاط من 160</t>
  </si>
  <si>
    <t>مجموع النقاط من 120</t>
  </si>
  <si>
    <t xml:space="preserve">الملاحظات </t>
  </si>
  <si>
    <t xml:space="preserve">            </t>
  </si>
  <si>
    <t>زيارة الشركة الوطنية للخدمات الزراعية</t>
  </si>
  <si>
    <t>زيارة مركز كفاءة الطاقة السعودي</t>
  </si>
  <si>
    <t>زيارة شركة دار الأركان و طرح عدة أفكار</t>
  </si>
  <si>
    <t xml:space="preserve">تم الحضور و الاستفادة من المناقشات و معرفة حالة السوق و المشاريع القائمة في الوقت الحالي في السعودية و كان الحديث بالاخص عن مدينة الملك سلمان و تم الانظمام في قروب واتساب </t>
  </si>
  <si>
    <t>زيارة شركة mbl للتطوير و البناء</t>
  </si>
  <si>
    <t>زيارة الغرفة التجارية في الرياض</t>
  </si>
  <si>
    <t xml:space="preserve">مباشرة العمل في فرع الرياض و معرفة اخر تحديثات و مساعدة الفريق في العمل اذا كانو بحاجة ذلك </t>
  </si>
  <si>
    <t>حضور دعوة الساعة 1م عن بعد الشركة الوطنية للخدمات الزراعية</t>
  </si>
  <si>
    <t>حضور عن بعد دورة تدريبية الساعة 12م الكهروضوئية في الشرق الأوسط وشمال أفريقيا 2024</t>
  </si>
  <si>
    <t>تم الحضور و طرح عدة اسالة من ضمنها لابد وضع تسهيلات للمزارعين بربط الشركة الوطنية للخدمات الزراعية في الصندوق الزراعي و كانت اجابتهم نعم نحن نعمل على ذلك و هاذي من ضمن خطتنا بالتطبيق الجديد و بعد الانتهاء من الاجتماع تم مراسلة المسؤول للزيارة يوم الاحد لفتح علاقة جيدة معهم و نكون من الشركات المبادرة بالتحول الى الطاقة الشمسية</t>
  </si>
  <si>
    <t xml:space="preserve">ارسال ايميل لشركة DMG للمشاركة في معرض الطاقة السعودي و معرفة عدة تفاصيل  </t>
  </si>
  <si>
    <t xml:space="preserve">ارسال ايميل للشركة المنظمة لمعرض سمارت سيتي و جاري العمل على التنسيقات و معرفة الأسعار </t>
  </si>
  <si>
    <t>جمع الشهادات 12 ملف لأرسال لمشروع نيوم للاعتماد و تم الارسال</t>
  </si>
  <si>
    <t>الاجتماع مع عبد الله ( قوقل ) و وضع خطة افضل و رفع ميزانية الفروع الرياض 2000 و القصيم 1000 ريال و المتجر 500 ريال</t>
  </si>
  <si>
    <t xml:space="preserve">الاتصال على عدة عملاء و تم ارسال عرض سعر لعميل 100 حصان و أرى جديته في التنفيذ ان شاء الله </t>
  </si>
  <si>
    <t xml:space="preserve">تم التواصل مع م صبري مشروع نيوم و طلب معلومات المعلومات للبناء  و كان الرد ننتظر قليلا و تأجل الموضوع في الوقت الحالي و لم يعطي جواب واضح . </t>
  </si>
  <si>
    <t>التواصل مع شركات دورات و تسويق للسوشل ميديا</t>
  </si>
  <si>
    <t xml:space="preserve">تم زيارتهم و كان  الهدف زيارة مدير شركاء الأعمال بندر الدهمشي , و لكن تم الالتقاء بشخص اخر بسبب ان بندر الدهمشي صارت عنده حالة وفات و تأجل الاجتماع عن بعد .. لتحديد موعد مع الدكتور إبراهيم الدحيم و هو لديه وصول للصندوق التمنية الزراعي </t>
  </si>
  <si>
    <t>لم يتم الدخول و تم ارسال ايميل تعريفي عن الشركة لأخذ موعد</t>
  </si>
  <si>
    <t xml:space="preserve">تم الاجتماع و وضع عدة اهداف و معرفة عدة أمور و تم ارسال ذلك في الايميل </t>
  </si>
  <si>
    <t>اجتماع مع شركة ديزاين طاقة شمسية OPTIMAL</t>
  </si>
  <si>
    <t>تم زيارة الغرفة بهدف عمل ورشة عمل للطاقة الشمسية و الاستفاده منها في القطاع الزراعي و بختصار شديد يريدون ان يرون فعالية عملها في القصيم و اذا كانت ناجحه يتم طرحها .</t>
  </si>
  <si>
    <t xml:space="preserve">تمت زيارتهم  لمعرفة الشروط و التعريف بشركتنا و التعرف على احد المسوولين بهدف تسهيل الأمور و التواصل و قد اخبرتك أبو محمد بالشروط كامله و هي الحصول على شهادة CMVP </t>
  </si>
  <si>
    <t>الاجتماع مع عدة شركات طاقة شمسية</t>
  </si>
  <si>
    <t xml:space="preserve">تم حضور اجتماع مسائي مع محمد عربيات للتعرف على السوق اكثر و ربط العلاقات </t>
  </si>
  <si>
    <t xml:space="preserve">تم ارسال عدة ايميلات تعريفي لنا لشركات زراعة حضرة في اجتماع الشركة الوطنية للخدمات الزراعية للتواصل معهم و فتح عدة طريق منها وضع بنر او تحويل أي مشروع لنا و إعطاء نسبة </t>
  </si>
  <si>
    <t xml:space="preserve">ارسال ايميل  لعدة شركات الزراعية و البروفايل  </t>
  </si>
  <si>
    <t>دراسة و معرفة حالة السوق لتوزيع استرونرجي</t>
  </si>
  <si>
    <t xml:space="preserve">اعتماد ترشيد </t>
  </si>
  <si>
    <t xml:space="preserve">طلبت مني معرفة اذا كان يمكننا اخذ الاعتماد كمقاول دون CMVP </t>
  </si>
  <si>
    <t xml:space="preserve">تطبيق الخدمات الزراعية </t>
  </si>
  <si>
    <t xml:space="preserve">تم التسجيل في التطبيق و استكمال جميع البيانات المطوبة التطبيق عبارة عن التسجيل كمزود خدمة طاقة شمسية للمزارعين </t>
  </si>
  <si>
    <t xml:space="preserve">اعتماد كدانة </t>
  </si>
  <si>
    <t xml:space="preserve">دورة تدريبية من نادي الطاقة و معلومات عن الطاقة الشمسية و حالة السوق </t>
  </si>
  <si>
    <t>تم ارفاق جميع الملفات المطلوبة و هي بيانات عديده للشركة لأخذ الاعتماد في تنفيذ مشاريع الطاقة في مكه المكرة و انارات الطاقة الشمسية ( لازال يوجد نقص في الملفات القوائم المالية )</t>
  </si>
  <si>
    <t xml:space="preserve">شركة البدر تاورز للمقاولات </t>
  </si>
  <si>
    <t>ايفنت استرونرجي</t>
  </si>
  <si>
    <t xml:space="preserve">شركة ابانا </t>
  </si>
  <si>
    <t xml:space="preserve">تم التواصل مع تيمور و ارسال له على الايميل عرض السعر على الواح استرونرجي w585 و 630w </t>
  </si>
  <si>
    <t>بعد البحث المستمر عن شركات المقاولات التي تنفذ انارات و غيرها تم التواصل معهم للتعريف عن شركتنا و كان الحديث بشكل كبير عن انارات الطاقة الشمسية للتوريد و كذلك تنفيذ أي مشروع طاقة شمسية ( تم تحديث اجتماع الأسبوع القادم عن بعد )</t>
  </si>
  <si>
    <t xml:space="preserve">البحث عن شركات الطاقة الشمسية </t>
  </si>
  <si>
    <t xml:space="preserve">اجتماع مع محمد عربيات </t>
  </si>
  <si>
    <t>حضور دورة تدريبية عن الطاقة الشمسية</t>
  </si>
  <si>
    <t xml:space="preserve">خطة تصوير  </t>
  </si>
  <si>
    <t xml:space="preserve">التواصل مع عملاء غطاسات </t>
  </si>
  <si>
    <t xml:space="preserve">تم التواصل مع عدة عملا من ضمنهم زارنا في الشركة عبد العزيز التويجري غطاس 100 , 150 حصان والتحدث معه و لديه جدية </t>
  </si>
  <si>
    <t>إعلانات قوقل</t>
  </si>
  <si>
    <t>اجتماع مع سناب</t>
  </si>
  <si>
    <t xml:space="preserve">متابعة و تحديث الكلمات المفتاحية للحصول على افضل أداء في البحث في الخرائط و غيرها </t>
  </si>
  <si>
    <t>تم حضور الاجتماع للمصنع الصيني للستاركتشر</t>
  </si>
  <si>
    <t xml:space="preserve">اجتماع المصنع الصينية </t>
  </si>
  <si>
    <t>ايميل ايفنت استرونرجي</t>
  </si>
  <si>
    <t>تم ارسال ايميل لمحمد عربيات يوم الجمعة للمتطلبات الايفنت و السعر المطلوب</t>
  </si>
  <si>
    <t>بحث عن الفرص بشكل مستمر في السوق</t>
  </si>
  <si>
    <t xml:space="preserve">البحث و التواصل معهم لتوزيع الواح استرونرجي و التسويق للمنتج و التعرف بأننا وكلاء استرو في السعودية و لازال التواصل مستمر للحصول على توزيع كبير و مستمر و معرفة السوق . </t>
  </si>
  <si>
    <t>الاجتماع للتحدث عن شركات الطاقة المنافسة و التي تأخذ من موزع اخر و جزء من الايفنت .</t>
  </si>
  <si>
    <t xml:space="preserve">الاجتماع مع محمد عربيات استرونيرجي </t>
  </si>
  <si>
    <t xml:space="preserve">الاجتماع مع الدكتور عبد الالة حبيب و هو استشاري و تصميم أنظمة الطاقة الشمسية و لدية برنامج من تطويرة بأمكانه تصميم اي نظام في عدة دقائق و كان الحديث حول ان ننفذ المشاريع التي لديه اون جريد للبيوت و يكون لديه نسبة متفق عليها لكل مشروع سيتم تحديد اجتماع اخر لمعرفة رائيه و كان الحديث طويل . </t>
  </si>
  <si>
    <t>لم يتم التواصل</t>
  </si>
  <si>
    <t>السبب دراسة سوق الطاقة و توزيع الواح استرو و كان البحث مدته طويلة سيتم التواصل في وقت اخر</t>
  </si>
  <si>
    <t xml:space="preserve">زيارة محمد عربيات لنا و التحدث معة حول التوزيع و الشركات المنافسه و الكبيرة و هذا الحديث اخذ منا وقت </t>
  </si>
  <si>
    <t>البحث عن عروض سعر</t>
  </si>
  <si>
    <t>البحث و التواصل معهم لتوزيع الواح استرونرجي و التسويق للمنتج و التعرف عليهم بأننا وكلاء استرو في السعودية</t>
  </si>
  <si>
    <t xml:space="preserve">خطة تصوير تم شرحها كليا الى المصور دهشان و التحدث و الاجتماع معه عن بعد , خطة التصوير تكون موجهه للشركات الكبيرة و المشاريع الحالية بأن كيوصن تنفذ جميع المشاريع الكبيرة ( لدينا تصوير للافراد فقط ) العمل على تصوير للشركات الكبيره و هذا يوصل رسالة للجميع بأننا ننفذ مشاريع كبيرة و ظهورنا بشكل اكبر و لدي بعض الافكار على ذلك سيتم تنطبيقها في التصوير </t>
  </si>
  <si>
    <t xml:space="preserve">دراسة و معرفة حالة السوق لتوزيع استرونرجي </t>
  </si>
  <si>
    <t>تم الاجماع مع سناب شات للتدريب و معرفة التسويق و الاعلان بشكل افضل على السناب بشكل افضل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</si>
</sst>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4"/>
      <color rgb="FFFFFF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FFFF0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name val="Arial"/>
      <family val="2"/>
      <scheme val="minor"/>
    </font>
    <font>
      <b/>
      <sz val="18"/>
      <color rgb="FF006100"/>
      <name val="Arial"/>
      <family val="2"/>
      <scheme val="minor"/>
    </font>
    <font>
      <sz val="18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14" borderId="0" applyNumberFormat="0" applyBorder="0" applyAlignment="0" applyProtection="0"/>
    <xf numFmtId="9" fontId="4" fillId="0" borderId="0" applyFont="0" applyFill="0" applyBorder="0" applyAlignment="0" applyProtection="0"/>
  </cellStyleXfs>
  <cellXfs count="250">
    <xf numFmtId="0" fontId="0" fillId="0" borderId="0" xfId="0"/>
    <xf numFmtId="0" fontId="8" fillId="0" borderId="0" xfId="0" applyFont="1" applyAlignment="1" applyProtection="1">
      <alignment horizontal="center" vertical="center"/>
      <protection locked="0"/>
    </xf>
    <xf numFmtId="0" fontId="1" fillId="6" borderId="38" xfId="0" applyFont="1" applyFill="1" applyBorder="1" applyAlignment="1" applyProtection="1">
      <alignment horizontal="center" vertical="center"/>
      <protection locked="0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1" fillId="6" borderId="9" xfId="0" applyFont="1" applyFill="1" applyBorder="1" applyAlignment="1" applyProtection="1">
      <alignment horizontal="center" vertical="center" wrapText="1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5" borderId="8" xfId="0" applyFont="1" applyFill="1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vertical="center"/>
      <protection locked="0"/>
    </xf>
    <xf numFmtId="0" fontId="2" fillId="8" borderId="15" xfId="0" applyFont="1" applyFill="1" applyBorder="1" applyAlignment="1" applyProtection="1">
      <alignment vertical="center"/>
      <protection locked="0"/>
    </xf>
    <xf numFmtId="0" fontId="2" fillId="8" borderId="15" xfId="0" applyFont="1" applyFill="1" applyBorder="1" applyAlignment="1" applyProtection="1">
      <alignment horizontal="center" vertical="center"/>
      <protection locked="0"/>
    </xf>
    <xf numFmtId="0" fontId="2" fillId="7" borderId="11" xfId="0" applyFont="1" applyFill="1" applyBorder="1" applyAlignment="1" applyProtection="1">
      <alignment vertical="center"/>
      <protection locked="0"/>
    </xf>
    <xf numFmtId="0" fontId="2" fillId="7" borderId="12" xfId="0" applyFont="1" applyFill="1" applyBorder="1" applyAlignment="1" applyProtection="1">
      <alignment vertical="center"/>
      <protection locked="0"/>
    </xf>
    <xf numFmtId="0" fontId="2" fillId="8" borderId="17" xfId="0" applyFont="1" applyFill="1" applyBorder="1" applyAlignment="1" applyProtection="1">
      <alignment vertical="center"/>
      <protection locked="0"/>
    </xf>
    <xf numFmtId="0" fontId="2" fillId="7" borderId="17" xfId="0" applyFont="1" applyFill="1" applyBorder="1" applyAlignment="1" applyProtection="1">
      <alignment vertical="center"/>
      <protection locked="0"/>
    </xf>
    <xf numFmtId="0" fontId="2" fillId="7" borderId="14" xfId="0" applyFont="1" applyFill="1" applyBorder="1" applyAlignment="1" applyProtection="1">
      <alignment vertical="center"/>
      <protection locked="0"/>
    </xf>
    <xf numFmtId="0" fontId="2" fillId="7" borderId="18" xfId="0" applyFont="1" applyFill="1" applyBorder="1" applyAlignment="1" applyProtection="1">
      <alignment vertical="center"/>
      <protection locked="0"/>
    </xf>
    <xf numFmtId="0" fontId="2" fillId="8" borderId="25" xfId="0" applyFont="1" applyFill="1" applyBorder="1" applyAlignment="1" applyProtection="1">
      <alignment vertical="center"/>
      <protection locked="0"/>
    </xf>
    <xf numFmtId="0" fontId="2" fillId="8" borderId="26" xfId="0" applyFont="1" applyFill="1" applyBorder="1" applyAlignment="1" applyProtection="1">
      <alignment vertical="center"/>
      <protection locked="0"/>
    </xf>
    <xf numFmtId="0" fontId="2" fillId="8" borderId="27" xfId="0" applyFont="1" applyFill="1" applyBorder="1" applyAlignment="1" applyProtection="1">
      <alignment vertical="center"/>
      <protection locked="0"/>
    </xf>
    <xf numFmtId="0" fontId="2" fillId="8" borderId="27" xfId="0" applyFont="1" applyFill="1" applyBorder="1" applyAlignment="1" applyProtection="1">
      <alignment horizontal="center" vertical="center"/>
      <protection locked="0"/>
    </xf>
    <xf numFmtId="0" fontId="2" fillId="7" borderId="21" xfId="0" applyFont="1" applyFill="1" applyBorder="1" applyAlignment="1" applyProtection="1">
      <alignment vertical="center"/>
      <protection locked="0"/>
    </xf>
    <xf numFmtId="0" fontId="2" fillId="7" borderId="22" xfId="0" applyFont="1" applyFill="1" applyBorder="1" applyAlignment="1" applyProtection="1">
      <alignment vertical="center"/>
      <protection locked="0"/>
    </xf>
    <xf numFmtId="0" fontId="2" fillId="7" borderId="23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vertical="center"/>
      <protection locked="0"/>
    </xf>
    <xf numFmtId="0" fontId="2" fillId="9" borderId="12" xfId="0" applyFont="1" applyFill="1" applyBorder="1" applyAlignment="1" applyProtection="1">
      <alignment vertical="center"/>
      <protection locked="0"/>
    </xf>
    <xf numFmtId="0" fontId="2" fillId="2" borderId="17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9" borderId="17" xfId="0" applyFont="1" applyFill="1" applyBorder="1" applyAlignment="1" applyProtection="1">
      <alignment vertical="center"/>
      <protection locked="0"/>
    </xf>
    <xf numFmtId="0" fontId="2" fillId="9" borderId="14" xfId="0" applyFont="1" applyFill="1" applyBorder="1" applyAlignment="1" applyProtection="1">
      <alignment vertical="center"/>
      <protection locked="0"/>
    </xf>
    <xf numFmtId="0" fontId="2" fillId="9" borderId="18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Alignment="1" applyProtection="1">
      <alignment vertical="center"/>
      <protection locked="0"/>
    </xf>
    <xf numFmtId="0" fontId="2" fillId="2" borderId="22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Alignment="1" applyProtection="1">
      <alignment horizontal="center" vertical="center"/>
      <protection locked="0"/>
    </xf>
    <xf numFmtId="0" fontId="2" fillId="9" borderId="21" xfId="0" applyFont="1" applyFill="1" applyBorder="1" applyAlignment="1" applyProtection="1">
      <alignment vertical="center"/>
      <protection locked="0"/>
    </xf>
    <xf numFmtId="0" fontId="2" fillId="9" borderId="22" xfId="0" applyFont="1" applyFill="1" applyBorder="1" applyAlignment="1" applyProtection="1">
      <alignment vertical="center"/>
      <protection locked="0"/>
    </xf>
    <xf numFmtId="0" fontId="2" fillId="9" borderId="23" xfId="0" applyFont="1" applyFill="1" applyBorder="1" applyAlignment="1" applyProtection="1">
      <alignment vertical="center"/>
      <protection locked="0"/>
    </xf>
    <xf numFmtId="0" fontId="2" fillId="4" borderId="14" xfId="0" applyFont="1" applyFill="1" applyBorder="1" applyAlignment="1" applyProtection="1">
      <alignment vertical="center"/>
      <protection locked="0"/>
    </xf>
    <xf numFmtId="0" fontId="2" fillId="4" borderId="15" xfId="0" applyFont="1" applyFill="1" applyBorder="1" applyAlignment="1" applyProtection="1">
      <alignment vertical="center"/>
      <protection locked="0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2" fillId="10" borderId="11" xfId="0" applyFont="1" applyFill="1" applyBorder="1" applyAlignment="1" applyProtection="1">
      <alignment vertical="center"/>
      <protection locked="0"/>
    </xf>
    <xf numFmtId="0" fontId="2" fillId="10" borderId="12" xfId="0" applyFont="1" applyFill="1" applyBorder="1" applyAlignment="1" applyProtection="1">
      <alignment vertical="center"/>
      <protection locked="0"/>
    </xf>
    <xf numFmtId="0" fontId="2" fillId="4" borderId="17" xfId="0" applyFont="1" applyFill="1" applyBorder="1" applyAlignment="1" applyProtection="1">
      <alignment vertical="center"/>
      <protection locked="0"/>
    </xf>
    <xf numFmtId="0" fontId="2" fillId="10" borderId="17" xfId="0" applyFont="1" applyFill="1" applyBorder="1" applyAlignment="1" applyProtection="1">
      <alignment vertical="center"/>
      <protection locked="0"/>
    </xf>
    <xf numFmtId="0" fontId="2" fillId="10" borderId="14" xfId="0" applyFont="1" applyFill="1" applyBorder="1" applyAlignment="1" applyProtection="1">
      <alignment vertical="center"/>
      <protection locked="0"/>
    </xf>
    <xf numFmtId="0" fontId="2" fillId="10" borderId="18" xfId="0" applyFont="1" applyFill="1" applyBorder="1" applyAlignment="1" applyProtection="1">
      <alignment vertical="center"/>
      <protection locked="0"/>
    </xf>
    <xf numFmtId="0" fontId="2" fillId="4" borderId="25" xfId="0" applyFont="1" applyFill="1" applyBorder="1" applyAlignment="1" applyProtection="1">
      <alignment vertical="center"/>
      <protection locked="0"/>
    </xf>
    <xf numFmtId="0" fontId="2" fillId="4" borderId="26" xfId="0" applyFont="1" applyFill="1" applyBorder="1" applyAlignment="1" applyProtection="1">
      <alignment vertical="center"/>
      <protection locked="0"/>
    </xf>
    <xf numFmtId="0" fontId="2" fillId="4" borderId="27" xfId="0" applyFont="1" applyFill="1" applyBorder="1" applyAlignment="1" applyProtection="1">
      <alignment vertical="center"/>
      <protection locked="0"/>
    </xf>
    <xf numFmtId="0" fontId="2" fillId="4" borderId="27" xfId="0" applyFont="1" applyFill="1" applyBorder="1" applyAlignment="1" applyProtection="1">
      <alignment horizontal="center" vertical="center"/>
      <protection locked="0"/>
    </xf>
    <xf numFmtId="0" fontId="2" fillId="10" borderId="21" xfId="0" applyFont="1" applyFill="1" applyBorder="1" applyAlignment="1" applyProtection="1">
      <alignment vertical="center"/>
      <protection locked="0"/>
    </xf>
    <xf numFmtId="0" fontId="2" fillId="10" borderId="22" xfId="0" applyFont="1" applyFill="1" applyBorder="1" applyAlignment="1" applyProtection="1">
      <alignment vertical="center"/>
      <protection locked="0"/>
    </xf>
    <xf numFmtId="0" fontId="2" fillId="10" borderId="23" xfId="0" applyFont="1" applyFill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vertical="center"/>
      <protection locked="0"/>
    </xf>
    <xf numFmtId="0" fontId="2" fillId="3" borderId="12" xfId="0" applyFont="1" applyFill="1" applyBorder="1" applyAlignment="1" applyProtection="1">
      <alignment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vertical="center"/>
      <protection locked="0"/>
    </xf>
    <xf numFmtId="0" fontId="2" fillId="3" borderId="14" xfId="0" applyFont="1" applyFill="1" applyBorder="1" applyAlignment="1" applyProtection="1">
      <alignment vertical="center"/>
      <protection locked="0"/>
    </xf>
    <xf numFmtId="0" fontId="2" fillId="3" borderId="15" xfId="0" applyFont="1" applyFill="1" applyBorder="1" applyAlignment="1" applyProtection="1">
      <alignment vertical="center"/>
      <protection locked="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vertical="center"/>
      <protection locked="0"/>
    </xf>
    <xf numFmtId="0" fontId="2" fillId="3" borderId="21" xfId="0" applyFont="1" applyFill="1" applyBorder="1" applyAlignment="1" applyProtection="1">
      <alignment vertical="center"/>
      <protection locked="0"/>
    </xf>
    <xf numFmtId="0" fontId="2" fillId="3" borderId="22" xfId="0" applyFont="1" applyFill="1" applyBorder="1" applyAlignment="1" applyProtection="1">
      <alignment vertical="center"/>
      <protection locked="0"/>
    </xf>
    <xf numFmtId="0" fontId="2" fillId="3" borderId="28" xfId="0" applyFont="1" applyFill="1" applyBorder="1" applyAlignment="1" applyProtection="1">
      <alignment vertical="center"/>
      <protection locked="0"/>
    </xf>
    <xf numFmtId="0" fontId="2" fillId="3" borderId="28" xfId="0" applyFont="1" applyFill="1" applyBorder="1" applyAlignment="1" applyProtection="1">
      <alignment horizontal="center" vertical="center"/>
      <protection locked="0"/>
    </xf>
    <xf numFmtId="0" fontId="2" fillId="4" borderId="31" xfId="0" applyFont="1" applyFill="1" applyBorder="1" applyAlignment="1" applyProtection="1">
      <alignment vertical="center"/>
      <protection locked="0"/>
    </xf>
    <xf numFmtId="0" fontId="2" fillId="7" borderId="15" xfId="0" applyFont="1" applyFill="1" applyBorder="1" applyAlignment="1" applyProtection="1">
      <alignment vertical="center"/>
      <protection locked="0"/>
    </xf>
    <xf numFmtId="0" fontId="2" fillId="7" borderId="15" xfId="0" applyFont="1" applyFill="1" applyBorder="1" applyAlignment="1" applyProtection="1">
      <alignment horizontal="center" vertical="center"/>
      <protection locked="0"/>
    </xf>
    <xf numFmtId="0" fontId="2" fillId="11" borderId="11" xfId="0" applyFont="1" applyFill="1" applyBorder="1" applyAlignment="1" applyProtection="1">
      <alignment vertical="center"/>
      <protection locked="0"/>
    </xf>
    <xf numFmtId="0" fontId="2" fillId="11" borderId="12" xfId="0" applyFont="1" applyFill="1" applyBorder="1" applyAlignment="1" applyProtection="1">
      <alignment vertical="center"/>
      <protection locked="0"/>
    </xf>
    <xf numFmtId="0" fontId="2" fillId="11" borderId="17" xfId="0" applyFont="1" applyFill="1" applyBorder="1" applyAlignment="1" applyProtection="1">
      <alignment vertical="center"/>
      <protection locked="0"/>
    </xf>
    <xf numFmtId="0" fontId="2" fillId="11" borderId="14" xfId="0" applyFont="1" applyFill="1" applyBorder="1" applyAlignment="1" applyProtection="1">
      <alignment vertical="center"/>
      <protection locked="0"/>
    </xf>
    <xf numFmtId="0" fontId="2" fillId="11" borderId="18" xfId="0" applyFont="1" applyFill="1" applyBorder="1" applyAlignment="1" applyProtection="1">
      <alignment vertical="center"/>
      <protection locked="0"/>
    </xf>
    <xf numFmtId="0" fontId="2" fillId="7" borderId="25" xfId="0" applyFont="1" applyFill="1" applyBorder="1" applyAlignment="1" applyProtection="1">
      <alignment vertical="center"/>
      <protection locked="0"/>
    </xf>
    <xf numFmtId="0" fontId="2" fillId="7" borderId="26" xfId="0" applyFont="1" applyFill="1" applyBorder="1" applyAlignment="1" applyProtection="1">
      <alignment vertical="center"/>
      <protection locked="0"/>
    </xf>
    <xf numFmtId="0" fontId="2" fillId="7" borderId="27" xfId="0" applyFont="1" applyFill="1" applyBorder="1" applyAlignment="1" applyProtection="1">
      <alignment vertical="center"/>
      <protection locked="0"/>
    </xf>
    <xf numFmtId="0" fontId="2" fillId="7" borderId="27" xfId="0" applyFont="1" applyFill="1" applyBorder="1" applyAlignment="1" applyProtection="1">
      <alignment horizontal="center" vertical="center"/>
      <protection locked="0"/>
    </xf>
    <xf numFmtId="0" fontId="2" fillId="11" borderId="21" xfId="0" applyFont="1" applyFill="1" applyBorder="1" applyAlignment="1" applyProtection="1">
      <alignment vertical="center"/>
      <protection locked="0"/>
    </xf>
    <xf numFmtId="0" fontId="2" fillId="11" borderId="22" xfId="0" applyFont="1" applyFill="1" applyBorder="1" applyAlignment="1" applyProtection="1">
      <alignment vertical="center"/>
      <protection locked="0"/>
    </xf>
    <xf numFmtId="0" fontId="2" fillId="11" borderId="23" xfId="0" applyFont="1" applyFill="1" applyBorder="1" applyAlignment="1" applyProtection="1">
      <alignment vertical="center"/>
      <protection locked="0"/>
    </xf>
    <xf numFmtId="0" fontId="2" fillId="13" borderId="11" xfId="0" applyFont="1" applyFill="1" applyBorder="1" applyAlignment="1" applyProtection="1">
      <alignment vertical="center"/>
      <protection locked="0"/>
    </xf>
    <xf numFmtId="0" fontId="2" fillId="13" borderId="12" xfId="0" applyFont="1" applyFill="1" applyBorder="1" applyAlignment="1" applyProtection="1">
      <alignment vertical="center"/>
      <protection locked="0"/>
    </xf>
    <xf numFmtId="0" fontId="2" fillId="13" borderId="12" xfId="0" applyFont="1" applyFill="1" applyBorder="1" applyAlignment="1" applyProtection="1">
      <alignment horizontal="center" vertical="center"/>
      <protection locked="0"/>
    </xf>
    <xf numFmtId="0" fontId="2" fillId="12" borderId="11" xfId="0" applyFont="1" applyFill="1" applyBorder="1" applyAlignment="1" applyProtection="1">
      <alignment vertical="center"/>
      <protection locked="0"/>
    </xf>
    <xf numFmtId="0" fontId="2" fillId="12" borderId="12" xfId="0" applyFont="1" applyFill="1" applyBorder="1" applyAlignment="1" applyProtection="1">
      <alignment vertical="center"/>
      <protection locked="0"/>
    </xf>
    <xf numFmtId="0" fontId="2" fillId="13" borderId="17" xfId="0" applyFont="1" applyFill="1" applyBorder="1" applyAlignment="1" applyProtection="1">
      <alignment vertical="center"/>
      <protection locked="0"/>
    </xf>
    <xf numFmtId="0" fontId="2" fillId="13" borderId="14" xfId="0" applyFont="1" applyFill="1" applyBorder="1" applyAlignment="1" applyProtection="1">
      <alignment vertical="center"/>
      <protection locked="0"/>
    </xf>
    <xf numFmtId="0" fontId="2" fillId="13" borderId="15" xfId="0" applyFont="1" applyFill="1" applyBorder="1" applyAlignment="1" applyProtection="1">
      <alignment vertical="center"/>
      <protection locked="0"/>
    </xf>
    <xf numFmtId="0" fontId="2" fillId="13" borderId="15" xfId="0" applyFont="1" applyFill="1" applyBorder="1" applyAlignment="1" applyProtection="1">
      <alignment horizontal="center" vertical="center"/>
      <protection locked="0"/>
    </xf>
    <xf numFmtId="0" fontId="2" fillId="12" borderId="17" xfId="0" applyFont="1" applyFill="1" applyBorder="1" applyAlignment="1" applyProtection="1">
      <alignment vertical="center"/>
      <protection locked="0"/>
    </xf>
    <xf numFmtId="0" fontId="2" fillId="12" borderId="14" xfId="0" applyFont="1" applyFill="1" applyBorder="1" applyAlignment="1" applyProtection="1">
      <alignment vertical="center"/>
      <protection locked="0"/>
    </xf>
    <xf numFmtId="0" fontId="2" fillId="12" borderId="18" xfId="0" applyFont="1" applyFill="1" applyBorder="1" applyAlignment="1" applyProtection="1">
      <alignment vertical="center"/>
      <protection locked="0"/>
    </xf>
    <xf numFmtId="0" fontId="2" fillId="13" borderId="25" xfId="0" applyFont="1" applyFill="1" applyBorder="1" applyAlignment="1" applyProtection="1">
      <alignment vertical="center"/>
      <protection locked="0"/>
    </xf>
    <xf numFmtId="0" fontId="2" fillId="13" borderId="26" xfId="0" applyFont="1" applyFill="1" applyBorder="1" applyAlignment="1" applyProtection="1">
      <alignment vertical="center"/>
      <protection locked="0"/>
    </xf>
    <xf numFmtId="0" fontId="2" fillId="13" borderId="27" xfId="0" applyFont="1" applyFill="1" applyBorder="1" applyAlignment="1" applyProtection="1">
      <alignment vertical="center"/>
      <protection locked="0"/>
    </xf>
    <xf numFmtId="0" fontId="2" fillId="13" borderId="27" xfId="0" applyFont="1" applyFill="1" applyBorder="1" applyAlignment="1" applyProtection="1">
      <alignment horizontal="center" vertical="center"/>
      <protection locked="0"/>
    </xf>
    <xf numFmtId="0" fontId="2" fillId="12" borderId="25" xfId="0" applyFont="1" applyFill="1" applyBorder="1" applyAlignment="1" applyProtection="1">
      <alignment vertical="center"/>
      <protection locked="0"/>
    </xf>
    <xf numFmtId="0" fontId="2" fillId="12" borderId="26" xfId="0" applyFont="1" applyFill="1" applyBorder="1" applyAlignment="1" applyProtection="1">
      <alignment vertical="center"/>
      <protection locked="0"/>
    </xf>
    <xf numFmtId="0" fontId="2" fillId="12" borderId="31" xfId="0" applyFont="1" applyFill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6" fillId="10" borderId="12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35" xfId="0" applyBorder="1" applyProtection="1">
      <protection locked="0"/>
    </xf>
    <xf numFmtId="9" fontId="6" fillId="15" borderId="23" xfId="2" applyFont="1" applyFill="1" applyBorder="1" applyAlignment="1" applyProtection="1">
      <alignment horizontal="center"/>
      <protection locked="0"/>
    </xf>
    <xf numFmtId="9" fontId="7" fillId="16" borderId="23" xfId="2" applyFont="1" applyFill="1" applyBorder="1" applyAlignment="1" applyProtection="1">
      <alignment horizontal="center"/>
      <protection locked="0"/>
    </xf>
    <xf numFmtId="0" fontId="0" fillId="0" borderId="37" xfId="0" applyBorder="1" applyProtection="1">
      <protection locked="0"/>
    </xf>
    <xf numFmtId="0" fontId="0" fillId="0" borderId="0" xfId="0" applyProtection="1">
      <protection locked="0"/>
    </xf>
    <xf numFmtId="9" fontId="0" fillId="0" borderId="0" xfId="2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1" fillId="0" borderId="32" xfId="0" applyFont="1" applyBorder="1" applyProtection="1">
      <protection locked="0"/>
    </xf>
    <xf numFmtId="0" fontId="11" fillId="0" borderId="36" xfId="0" applyFont="1" applyBorder="1" applyProtection="1">
      <protection locked="0"/>
    </xf>
    <xf numFmtId="0" fontId="11" fillId="0" borderId="0" xfId="0" applyFont="1" applyProtection="1">
      <protection locked="0"/>
    </xf>
    <xf numFmtId="9" fontId="8" fillId="8" borderId="9" xfId="0" applyNumberFormat="1" applyFont="1" applyFill="1" applyBorder="1" applyAlignment="1">
      <alignment horizontal="center" vertical="center"/>
    </xf>
    <xf numFmtId="9" fontId="9" fillId="10" borderId="9" xfId="2" applyFont="1" applyFill="1" applyBorder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17" borderId="16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9" fontId="1" fillId="17" borderId="17" xfId="0" applyNumberFormat="1" applyFont="1" applyFill="1" applyBorder="1" applyAlignment="1">
      <alignment horizontal="center" vertical="center"/>
    </xf>
    <xf numFmtId="9" fontId="1" fillId="17" borderId="18" xfId="0" applyNumberFormat="1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9" fontId="12" fillId="6" borderId="21" xfId="0" applyNumberFormat="1" applyFont="1" applyFill="1" applyBorder="1" applyAlignment="1">
      <alignment horizontal="center" vertical="center"/>
    </xf>
    <xf numFmtId="9" fontId="12" fillId="6" borderId="23" xfId="0" applyNumberFormat="1" applyFont="1" applyFill="1" applyBorder="1" applyAlignment="1">
      <alignment horizontal="center" vertical="center"/>
    </xf>
    <xf numFmtId="0" fontId="2" fillId="10" borderId="12" xfId="0" applyFont="1" applyFill="1" applyBorder="1" applyAlignment="1" applyProtection="1">
      <alignment horizontal="center" vertical="center"/>
      <protection locked="0"/>
    </xf>
    <xf numFmtId="0" fontId="2" fillId="10" borderId="18" xfId="0" applyFont="1" applyFill="1" applyBorder="1" applyAlignment="1" applyProtection="1">
      <alignment horizontal="center" vertical="center"/>
      <protection locked="0"/>
    </xf>
    <xf numFmtId="0" fontId="2" fillId="10" borderId="23" xfId="0" applyFont="1" applyFill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horizontal="center" vertical="center"/>
      <protection locked="0"/>
    </xf>
    <xf numFmtId="0" fontId="2" fillId="4" borderId="31" xfId="0" applyFont="1" applyFill="1" applyBorder="1" applyAlignment="1" applyProtection="1">
      <alignment horizontal="center" vertical="center"/>
      <protection locked="0"/>
    </xf>
    <xf numFmtId="0" fontId="2" fillId="11" borderId="12" xfId="0" applyFont="1" applyFill="1" applyBorder="1" applyAlignment="1" applyProtection="1">
      <alignment horizontal="center" vertical="center"/>
      <protection locked="0"/>
    </xf>
    <xf numFmtId="0" fontId="2" fillId="11" borderId="18" xfId="0" applyFont="1" applyFill="1" applyBorder="1" applyAlignment="1" applyProtection="1">
      <alignment horizontal="center" vertical="center"/>
      <protection locked="0"/>
    </xf>
    <xf numFmtId="0" fontId="2" fillId="11" borderId="23" xfId="0" applyFont="1" applyFill="1" applyBorder="1" applyAlignment="1" applyProtection="1">
      <alignment horizontal="center" vertical="center"/>
      <protection locked="0"/>
    </xf>
    <xf numFmtId="0" fontId="2" fillId="12" borderId="12" xfId="0" applyFont="1" applyFill="1" applyBorder="1" applyAlignment="1" applyProtection="1">
      <alignment horizontal="center" vertical="center"/>
      <protection locked="0"/>
    </xf>
    <xf numFmtId="0" fontId="2" fillId="12" borderId="18" xfId="0" applyFont="1" applyFill="1" applyBorder="1" applyAlignment="1" applyProtection="1">
      <alignment horizontal="center" vertical="center"/>
      <protection locked="0"/>
    </xf>
    <xf numFmtId="0" fontId="2" fillId="12" borderId="31" xfId="0" applyFont="1" applyFill="1" applyBorder="1" applyAlignment="1" applyProtection="1">
      <alignment horizontal="center" vertical="center"/>
      <protection locked="0"/>
    </xf>
    <xf numFmtId="2" fontId="2" fillId="2" borderId="15" xfId="0" applyNumberFormat="1" applyFont="1" applyFill="1" applyBorder="1" applyAlignment="1" applyProtection="1">
      <alignment vertical="center"/>
      <protection locked="0"/>
    </xf>
    <xf numFmtId="2" fontId="2" fillId="2" borderId="28" xfId="0" applyNumberFormat="1" applyFont="1" applyFill="1" applyBorder="1" applyAlignment="1" applyProtection="1">
      <alignment vertical="center"/>
      <protection locked="0"/>
    </xf>
    <xf numFmtId="0" fontId="6" fillId="2" borderId="11" xfId="0" applyFont="1" applyFill="1" applyBorder="1" applyAlignment="1" applyProtection="1">
      <alignment vertical="center"/>
      <protection locked="0"/>
    </xf>
    <xf numFmtId="0" fontId="6" fillId="2" borderId="17" xfId="0" applyFont="1" applyFill="1" applyBorder="1" applyAlignment="1" applyProtection="1">
      <alignment vertical="center"/>
      <protection locked="0"/>
    </xf>
    <xf numFmtId="0" fontId="6" fillId="4" borderId="14" xfId="0" applyFont="1" applyFill="1" applyBorder="1" applyAlignment="1" applyProtection="1">
      <alignment vertical="center"/>
      <protection locked="0"/>
    </xf>
    <xf numFmtId="0" fontId="6" fillId="4" borderId="17" xfId="0" applyFont="1" applyFill="1" applyBorder="1" applyAlignment="1" applyProtection="1">
      <alignment vertical="center" wrapText="1"/>
      <protection locked="0"/>
    </xf>
    <xf numFmtId="0" fontId="6" fillId="3" borderId="11" xfId="0" applyFont="1" applyFill="1" applyBorder="1" applyAlignment="1" applyProtection="1">
      <alignment vertical="center"/>
      <protection locked="0"/>
    </xf>
    <xf numFmtId="0" fontId="6" fillId="3" borderId="17" xfId="0" applyFont="1" applyFill="1" applyBorder="1" applyAlignment="1" applyProtection="1">
      <alignment vertical="center"/>
      <protection locked="0"/>
    </xf>
    <xf numFmtId="0" fontId="6" fillId="7" borderId="14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 wrapText="1"/>
      <protection locked="0"/>
    </xf>
    <xf numFmtId="0" fontId="6" fillId="7" borderId="17" xfId="0" applyFont="1" applyFill="1" applyBorder="1" applyAlignment="1" applyProtection="1">
      <alignment vertical="center"/>
      <protection locked="0"/>
    </xf>
    <xf numFmtId="0" fontId="6" fillId="9" borderId="11" xfId="0" applyFont="1" applyFill="1" applyBorder="1" applyAlignment="1" applyProtection="1">
      <alignment vertical="top" wrapText="1"/>
      <protection locked="0"/>
    </xf>
    <xf numFmtId="0" fontId="6" fillId="9" borderId="17" xfId="0" applyFont="1" applyFill="1" applyBorder="1" applyAlignment="1" applyProtection="1">
      <alignment vertical="center" wrapText="1"/>
      <protection locked="0"/>
    </xf>
    <xf numFmtId="0" fontId="6" fillId="9" borderId="17" xfId="0" applyFont="1" applyFill="1" applyBorder="1" applyAlignment="1" applyProtection="1">
      <alignment vertical="center"/>
      <protection locked="0"/>
    </xf>
    <xf numFmtId="0" fontId="6" fillId="9" borderId="21" xfId="0" applyFont="1" applyFill="1" applyBorder="1" applyAlignment="1" applyProtection="1">
      <alignment vertical="center"/>
      <protection locked="0"/>
    </xf>
    <xf numFmtId="0" fontId="6" fillId="10" borderId="11" xfId="0" applyFont="1" applyFill="1" applyBorder="1" applyAlignment="1" applyProtection="1">
      <alignment vertical="center" wrapText="1"/>
      <protection locked="0"/>
    </xf>
    <xf numFmtId="0" fontId="6" fillId="10" borderId="17" xfId="0" applyFont="1" applyFill="1" applyBorder="1" applyAlignment="1" applyProtection="1">
      <alignment vertical="center"/>
      <protection locked="0"/>
    </xf>
    <xf numFmtId="0" fontId="6" fillId="10" borderId="21" xfId="0" applyFont="1" applyFill="1" applyBorder="1" applyAlignment="1" applyProtection="1">
      <alignment vertical="center"/>
      <protection locked="0"/>
    </xf>
    <xf numFmtId="0" fontId="6" fillId="4" borderId="14" xfId="0" applyFont="1" applyFill="1" applyBorder="1" applyAlignment="1" applyProtection="1">
      <alignment vertical="center" wrapText="1"/>
      <protection locked="0"/>
    </xf>
    <xf numFmtId="0" fontId="6" fillId="4" borderId="17" xfId="0" applyFont="1" applyFill="1" applyBorder="1" applyAlignment="1" applyProtection="1">
      <alignment vertical="center"/>
      <protection locked="0"/>
    </xf>
    <xf numFmtId="0" fontId="6" fillId="4" borderId="25" xfId="0" applyFont="1" applyFill="1" applyBorder="1" applyAlignment="1" applyProtection="1">
      <alignment vertical="center"/>
      <protection locked="0"/>
    </xf>
    <xf numFmtId="0" fontId="6" fillId="11" borderId="11" xfId="0" applyFont="1" applyFill="1" applyBorder="1" applyAlignment="1" applyProtection="1">
      <alignment vertical="center" wrapText="1"/>
      <protection locked="0"/>
    </xf>
    <xf numFmtId="0" fontId="6" fillId="11" borderId="17" xfId="0" applyFont="1" applyFill="1" applyBorder="1" applyAlignment="1" applyProtection="1">
      <alignment vertical="center" wrapText="1"/>
      <protection locked="0"/>
    </xf>
    <xf numFmtId="0" fontId="6" fillId="11" borderId="17" xfId="0" applyFont="1" applyFill="1" applyBorder="1" applyAlignment="1" applyProtection="1">
      <alignment vertical="center"/>
      <protection locked="0"/>
    </xf>
    <xf numFmtId="0" fontId="6" fillId="11" borderId="21" xfId="0" applyFont="1" applyFill="1" applyBorder="1" applyAlignment="1" applyProtection="1">
      <alignment vertical="center"/>
      <protection locked="0"/>
    </xf>
    <xf numFmtId="0" fontId="6" fillId="12" borderId="11" xfId="0" applyFont="1" applyFill="1" applyBorder="1" applyAlignment="1" applyProtection="1">
      <alignment vertical="center" wrapText="1"/>
      <protection locked="0"/>
    </xf>
    <xf numFmtId="0" fontId="6" fillId="13" borderId="11" xfId="0" applyFont="1" applyFill="1" applyBorder="1" applyAlignment="1" applyProtection="1">
      <alignment vertical="center"/>
      <protection locked="0"/>
    </xf>
    <xf numFmtId="0" fontId="2" fillId="9" borderId="11" xfId="0" applyFont="1" applyFill="1" applyBorder="1" applyAlignment="1" applyProtection="1">
      <alignment vertical="center" wrapText="1"/>
      <protection locked="0"/>
    </xf>
    <xf numFmtId="0" fontId="2" fillId="9" borderId="12" xfId="0" applyFont="1" applyFill="1" applyBorder="1" applyAlignment="1" applyProtection="1">
      <alignment horizontal="right" vertical="center"/>
      <protection locked="0"/>
    </xf>
    <xf numFmtId="0" fontId="2" fillId="4" borderId="17" xfId="0" applyFont="1" applyFill="1" applyBorder="1" applyAlignment="1" applyProtection="1">
      <alignment vertical="center" wrapText="1"/>
      <protection locked="0"/>
    </xf>
    <xf numFmtId="0" fontId="2" fillId="9" borderId="17" xfId="0" applyFont="1" applyFill="1" applyBorder="1" applyAlignment="1" applyProtection="1">
      <alignment vertical="center" wrapText="1"/>
      <protection locked="0"/>
    </xf>
    <xf numFmtId="0" fontId="2" fillId="11" borderId="17" xfId="0" applyFont="1" applyFill="1" applyBorder="1" applyAlignment="1" applyProtection="1">
      <alignment vertical="center" wrapText="1"/>
      <protection locked="0"/>
    </xf>
    <xf numFmtId="0" fontId="2" fillId="7" borderId="11" xfId="0" applyFont="1" applyFill="1" applyBorder="1" applyAlignment="1" applyProtection="1">
      <alignment vertical="center" wrapText="1"/>
      <protection locked="0"/>
    </xf>
    <xf numFmtId="0" fontId="2" fillId="7" borderId="17" xfId="0" applyFont="1" applyFill="1" applyBorder="1" applyAlignment="1" applyProtection="1">
      <alignment vertical="center" wrapText="1"/>
      <protection locked="0"/>
    </xf>
    <xf numFmtId="0" fontId="2" fillId="12" borderId="17" xfId="0" applyFont="1" applyFill="1" applyBorder="1" applyAlignment="1" applyProtection="1">
      <alignment vertical="center" wrapText="1"/>
      <protection locked="0"/>
    </xf>
    <xf numFmtId="0" fontId="2" fillId="10" borderId="11" xfId="0" applyFont="1" applyFill="1" applyBorder="1" applyAlignment="1" applyProtection="1">
      <alignment vertical="center" wrapText="1"/>
      <protection locked="0"/>
    </xf>
    <xf numFmtId="0" fontId="2" fillId="10" borderId="17" xfId="0" applyFont="1" applyFill="1" applyBorder="1" applyAlignment="1" applyProtection="1">
      <alignment vertical="center" wrapText="1"/>
      <protection locked="0"/>
    </xf>
    <xf numFmtId="0" fontId="2" fillId="4" borderId="14" xfId="0" applyFont="1" applyFill="1" applyBorder="1" applyAlignment="1" applyProtection="1">
      <alignment vertical="center" wrapText="1"/>
      <protection locked="0"/>
    </xf>
    <xf numFmtId="0" fontId="2" fillId="11" borderId="11" xfId="0" applyFont="1" applyFill="1" applyBorder="1" applyAlignment="1" applyProtection="1">
      <alignment vertical="center" wrapText="1"/>
      <protection locked="0"/>
    </xf>
    <xf numFmtId="0" fontId="2" fillId="12" borderId="12" xfId="0" applyFont="1" applyFill="1" applyBorder="1" applyAlignment="1" applyProtection="1">
      <alignment vertical="center" wrapText="1"/>
      <protection locked="0"/>
    </xf>
    <xf numFmtId="0" fontId="2" fillId="10" borderId="10" xfId="0" applyFont="1" applyFill="1" applyBorder="1" applyAlignment="1" applyProtection="1">
      <alignment horizontal="center" vertical="center"/>
      <protection locked="0"/>
    </xf>
    <xf numFmtId="0" fontId="2" fillId="10" borderId="11" xfId="0" applyFont="1" applyFill="1" applyBorder="1" applyAlignment="1" applyProtection="1">
      <alignment horizontal="center" vertical="center"/>
      <protection locked="0"/>
    </xf>
    <xf numFmtId="0" fontId="6" fillId="15" borderId="20" xfId="0" applyFont="1" applyFill="1" applyBorder="1" applyAlignment="1" applyProtection="1">
      <alignment horizontal="center"/>
      <protection locked="0"/>
    </xf>
    <xf numFmtId="0" fontId="6" fillId="15" borderId="21" xfId="0" applyFont="1" applyFill="1" applyBorder="1" applyAlignment="1" applyProtection="1">
      <alignment horizontal="center"/>
      <protection locked="0"/>
    </xf>
    <xf numFmtId="0" fontId="5" fillId="16" borderId="20" xfId="0" applyFont="1" applyFill="1" applyBorder="1" applyAlignment="1" applyProtection="1">
      <alignment horizontal="center" vertical="center"/>
      <protection locked="0"/>
    </xf>
    <xf numFmtId="0" fontId="5" fillId="16" borderId="2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6" fillId="10" borderId="10" xfId="0" applyFont="1" applyFill="1" applyBorder="1" applyAlignment="1" applyProtection="1">
      <alignment horizontal="center"/>
      <protection locked="0"/>
    </xf>
    <xf numFmtId="0" fontId="6" fillId="10" borderId="11" xfId="0" applyFont="1" applyFill="1" applyBorder="1" applyAlignment="1" applyProtection="1">
      <alignment horizontal="center"/>
      <protection locked="0"/>
    </xf>
    <xf numFmtId="0" fontId="1" fillId="4" borderId="3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3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6" xfId="0" applyFont="1" applyFill="1" applyBorder="1" applyAlignment="1" applyProtection="1">
      <alignment horizontal="center"/>
      <protection locked="0"/>
    </xf>
    <xf numFmtId="0" fontId="2" fillId="3" borderId="39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4" borderId="29" xfId="0" applyFont="1" applyFill="1" applyBorder="1" applyAlignment="1" applyProtection="1">
      <alignment horizontal="center" vertical="center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2" fillId="4" borderId="30" xfId="0" applyFont="1" applyFill="1" applyBorder="1" applyAlignment="1" applyProtection="1">
      <alignment horizontal="center" vertical="center"/>
      <protection locked="0"/>
    </xf>
    <xf numFmtId="0" fontId="2" fillId="7" borderId="13" xfId="0" applyFont="1" applyFill="1" applyBorder="1" applyAlignment="1" applyProtection="1">
      <alignment horizontal="center" vertical="center"/>
      <protection locked="0"/>
    </xf>
    <xf numFmtId="0" fontId="2" fillId="7" borderId="19" xfId="0" applyFont="1" applyFill="1" applyBorder="1" applyAlignment="1" applyProtection="1">
      <alignment horizontal="center" vertical="center"/>
      <protection locked="0"/>
    </xf>
    <xf numFmtId="0" fontId="2" fillId="7" borderId="24" xfId="0" applyFont="1" applyFill="1" applyBorder="1" applyAlignment="1" applyProtection="1">
      <alignment horizontal="center" vertical="center"/>
      <protection locked="0"/>
    </xf>
    <xf numFmtId="0" fontId="2" fillId="11" borderId="10" xfId="0" applyFont="1" applyFill="1" applyBorder="1" applyAlignment="1" applyProtection="1">
      <alignment horizontal="center" vertical="center"/>
      <protection locked="0"/>
    </xf>
    <xf numFmtId="0" fontId="2" fillId="11" borderId="16" xfId="0" applyFont="1" applyFill="1" applyBorder="1" applyAlignment="1" applyProtection="1">
      <alignment horizontal="center" vertical="center"/>
      <protection locked="0"/>
    </xf>
    <xf numFmtId="0" fontId="2" fillId="11" borderId="20" xfId="0" applyFont="1" applyFill="1" applyBorder="1" applyAlignment="1" applyProtection="1">
      <alignment horizontal="center" vertical="center"/>
      <protection locked="0"/>
    </xf>
    <xf numFmtId="0" fontId="2" fillId="13" borderId="39" xfId="0" applyFont="1" applyFill="1" applyBorder="1" applyAlignment="1" applyProtection="1">
      <alignment horizontal="center" vertical="center"/>
      <protection locked="0"/>
    </xf>
    <xf numFmtId="0" fontId="2" fillId="13" borderId="19" xfId="0" applyFont="1" applyFill="1" applyBorder="1" applyAlignment="1" applyProtection="1">
      <alignment horizontal="center" vertical="center"/>
      <protection locked="0"/>
    </xf>
    <xf numFmtId="0" fontId="2" fillId="13" borderId="24" xfId="0" applyFont="1" applyFill="1" applyBorder="1" applyAlignment="1" applyProtection="1">
      <alignment horizontal="center" vertical="center"/>
      <protection locked="0"/>
    </xf>
    <xf numFmtId="0" fontId="2" fillId="12" borderId="10" xfId="0" applyFont="1" applyFill="1" applyBorder="1" applyAlignment="1" applyProtection="1">
      <alignment horizontal="center" vertical="center"/>
      <protection locked="0"/>
    </xf>
    <xf numFmtId="0" fontId="2" fillId="12" borderId="16" xfId="0" applyFont="1" applyFill="1" applyBorder="1" applyAlignment="1" applyProtection="1">
      <alignment horizontal="center" vertical="center"/>
      <protection locked="0"/>
    </xf>
    <xf numFmtId="0" fontId="2" fillId="12" borderId="30" xfId="0" applyFont="1" applyFill="1" applyBorder="1" applyAlignment="1" applyProtection="1">
      <alignment horizontal="center" vertical="center"/>
      <protection locked="0"/>
    </xf>
    <xf numFmtId="0" fontId="2" fillId="8" borderId="13" xfId="0" applyFont="1" applyFill="1" applyBorder="1" applyAlignment="1" applyProtection="1">
      <alignment horizontal="center" vertical="center"/>
      <protection locked="0"/>
    </xf>
    <xf numFmtId="0" fontId="2" fillId="8" borderId="19" xfId="0" applyFont="1" applyFill="1" applyBorder="1" applyAlignment="1" applyProtection="1">
      <alignment horizontal="center" vertical="center"/>
      <protection locked="0"/>
    </xf>
    <xf numFmtId="0" fontId="2" fillId="8" borderId="24" xfId="0" applyFont="1" applyFill="1" applyBorder="1" applyAlignment="1" applyProtection="1">
      <alignment horizontal="center" vertical="center"/>
      <protection locked="0"/>
    </xf>
    <xf numFmtId="0" fontId="2" fillId="7" borderId="10" xfId="0" applyFont="1" applyFill="1" applyBorder="1" applyAlignment="1" applyProtection="1">
      <alignment horizontal="center" vertical="center"/>
      <protection locked="0"/>
    </xf>
    <xf numFmtId="0" fontId="2" fillId="7" borderId="16" xfId="0" applyFont="1" applyFill="1" applyBorder="1" applyAlignment="1" applyProtection="1">
      <alignment horizontal="center" vertical="center"/>
      <protection locked="0"/>
    </xf>
    <xf numFmtId="0" fontId="2" fillId="7" borderId="20" xfId="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40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9" borderId="16" xfId="0" applyFont="1" applyFill="1" applyBorder="1" applyAlignment="1" applyProtection="1">
      <alignment horizontal="center" vertical="center"/>
      <protection locked="0"/>
    </xf>
    <xf numFmtId="0" fontId="2" fillId="9" borderId="20" xfId="0" applyFont="1" applyFill="1" applyBorder="1" applyAlignment="1" applyProtection="1">
      <alignment horizontal="center" vertical="center"/>
      <protection locked="0"/>
    </xf>
    <xf numFmtId="0" fontId="2" fillId="4" borderId="13" xfId="0" applyFont="1" applyFill="1" applyBorder="1" applyAlignment="1" applyProtection="1">
      <alignment horizontal="center" vertical="center"/>
      <protection locked="0"/>
    </xf>
    <xf numFmtId="0" fontId="2" fillId="4" borderId="19" xfId="0" applyFont="1" applyFill="1" applyBorder="1" applyAlignment="1" applyProtection="1">
      <alignment horizontal="center" vertical="center"/>
      <protection locked="0"/>
    </xf>
    <xf numFmtId="0" fontId="2" fillId="4" borderId="24" xfId="0" applyFont="1" applyFill="1" applyBorder="1" applyAlignment="1" applyProtection="1">
      <alignment horizontal="center" vertical="center"/>
      <protection locked="0"/>
    </xf>
    <xf numFmtId="0" fontId="2" fillId="10" borderId="16" xfId="0" applyFont="1" applyFill="1" applyBorder="1" applyAlignment="1" applyProtection="1">
      <alignment horizontal="center" vertical="center"/>
      <protection locked="0"/>
    </xf>
    <xf numFmtId="0" fontId="2" fillId="10" borderId="20" xfId="0" applyFont="1" applyFill="1" applyBorder="1" applyAlignment="1" applyProtection="1">
      <alignment horizontal="center" vertical="center"/>
      <protection locked="0"/>
    </xf>
    <xf numFmtId="16" fontId="8" fillId="0" borderId="17" xfId="0" applyNumberFormat="1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9" fillId="10" borderId="7" xfId="0" applyFont="1" applyFill="1" applyBorder="1" applyAlignment="1" applyProtection="1">
      <alignment horizontal="center" vertical="center"/>
      <protection locked="0"/>
    </xf>
    <xf numFmtId="0" fontId="9" fillId="10" borderId="8" xfId="0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 applyProtection="1">
      <alignment horizontal="center" vertical="center"/>
      <protection locked="0"/>
    </xf>
    <xf numFmtId="0" fontId="8" fillId="8" borderId="8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0" fillId="14" borderId="2" xfId="1" applyFont="1" applyBorder="1" applyAlignment="1" applyProtection="1">
      <alignment horizontal="center" vertical="center" wrapText="1"/>
      <protection locked="0"/>
    </xf>
    <xf numFmtId="0" fontId="10" fillId="14" borderId="0" xfId="1" applyFont="1" applyBorder="1" applyAlignment="1" applyProtection="1">
      <alignment horizontal="center" vertical="center" wrapText="1"/>
      <protection locked="0"/>
    </xf>
    <xf numFmtId="0" fontId="10" fillId="14" borderId="34" xfId="1" applyFont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</cellXfs>
  <cellStyles count="3">
    <cellStyle name="Percent" xfId="2" builtinId="5"/>
    <cellStyle name="جيد" xfId="1" builtinId="26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7"/>
  <sheetViews>
    <sheetView rightToLeft="1" zoomScale="85" zoomScaleNormal="85" workbookViewId="0">
      <selection activeCell="A10" sqref="A10:A13"/>
    </sheetView>
  </sheetViews>
  <sheetFormatPr defaultRowHeight="14.25" x14ac:dyDescent="0.2"/>
  <cols>
    <col min="1" max="1" width="12.75" bestFit="1" customWidth="1"/>
    <col min="2" max="2" width="10" customWidth="1"/>
    <col min="3" max="3" width="63.125" customWidth="1"/>
    <col min="4" max="4" width="11.25" customWidth="1"/>
    <col min="5" max="5" width="12" customWidth="1"/>
    <col min="6" max="6" width="15.5" bestFit="1" customWidth="1"/>
    <col min="7" max="7" width="10.125" customWidth="1"/>
    <col min="8" max="8" width="36.875" customWidth="1"/>
    <col min="9" max="9" width="11.625" customWidth="1"/>
    <col min="10" max="10" width="15.5" bestFit="1" customWidth="1"/>
    <col min="11" max="11" width="65.375" customWidth="1"/>
  </cols>
  <sheetData>
    <row r="1" spans="1:15" ht="15" thickBot="1" x14ac:dyDescent="0.25"/>
    <row r="2" spans="1:15" ht="53.25" customHeight="1" thickBot="1" x14ac:dyDescent="0.25">
      <c r="A2" s="1">
        <v>1</v>
      </c>
      <c r="B2" s="1"/>
      <c r="C2" s="1"/>
      <c r="D2" s="241" t="s">
        <v>23</v>
      </c>
      <c r="E2" s="242"/>
      <c r="F2" s="121">
        <f>(F23+F53+F83+F113+F143+F173+F203+F233+F263+F293+F323+F353+F383+F397+F427+F457)/14</f>
        <v>0.7</v>
      </c>
      <c r="G2" s="1"/>
      <c r="H2" s="239" t="s">
        <v>24</v>
      </c>
      <c r="I2" s="240"/>
      <c r="J2" s="122">
        <f>(J23+J53+J83+J113+J143+J173+J203+J233+J263+J293+J323+J353+J383+J397)/14</f>
        <v>0.67187499999999989</v>
      </c>
      <c r="K2" s="1"/>
      <c r="L2" s="115"/>
      <c r="M2" s="115"/>
      <c r="N2" s="115"/>
      <c r="O2" s="115"/>
    </row>
    <row r="3" spans="1:15" ht="21" thickBot="1" x14ac:dyDescent="0.35">
      <c r="A3" s="244" t="s">
        <v>25</v>
      </c>
      <c r="B3" s="191" t="s">
        <v>0</v>
      </c>
      <c r="C3" s="192"/>
      <c r="D3" s="243"/>
      <c r="E3" s="243"/>
      <c r="F3" s="243"/>
      <c r="G3" s="192"/>
      <c r="H3" s="243"/>
      <c r="I3" s="243"/>
      <c r="J3" s="243"/>
      <c r="K3" s="193"/>
      <c r="L3" s="115"/>
      <c r="M3" s="115"/>
      <c r="N3" s="115"/>
      <c r="O3" s="115"/>
    </row>
    <row r="4" spans="1:15" ht="21" customHeight="1" thickBot="1" x14ac:dyDescent="0.35">
      <c r="A4" s="245"/>
      <c r="B4" s="196" t="s">
        <v>17</v>
      </c>
      <c r="C4" s="197"/>
      <c r="D4" s="197"/>
      <c r="E4" s="197"/>
      <c r="F4" s="198"/>
      <c r="G4" s="199" t="s">
        <v>11</v>
      </c>
      <c r="H4" s="200"/>
      <c r="I4" s="200"/>
      <c r="J4" s="200"/>
      <c r="K4" s="201"/>
      <c r="L4" s="115"/>
      <c r="M4" s="115"/>
      <c r="N4" s="115"/>
      <c r="O4" s="115"/>
    </row>
    <row r="5" spans="1:15" ht="41.25" thickBot="1" x14ac:dyDescent="0.25">
      <c r="A5" s="246"/>
      <c r="B5" s="2" t="s">
        <v>2</v>
      </c>
      <c r="C5" s="3" t="s">
        <v>6</v>
      </c>
      <c r="D5" s="3" t="s">
        <v>7</v>
      </c>
      <c r="E5" s="3" t="s">
        <v>8</v>
      </c>
      <c r="F5" s="4" t="s">
        <v>19</v>
      </c>
      <c r="G5" s="5" t="s">
        <v>2</v>
      </c>
      <c r="H5" s="6" t="s">
        <v>3</v>
      </c>
      <c r="I5" s="6" t="s">
        <v>4</v>
      </c>
      <c r="J5" s="7" t="s">
        <v>18</v>
      </c>
      <c r="K5" s="8" t="s">
        <v>5</v>
      </c>
      <c r="L5" s="115"/>
      <c r="M5" s="115"/>
      <c r="N5" s="115"/>
      <c r="O5" s="115"/>
    </row>
    <row r="6" spans="1:15" ht="18" x14ac:dyDescent="0.2">
      <c r="A6" s="237">
        <v>45292</v>
      </c>
      <c r="B6" s="232" t="s">
        <v>13</v>
      </c>
      <c r="C6" s="44"/>
      <c r="D6" s="44" t="s">
        <v>7</v>
      </c>
      <c r="E6" s="45"/>
      <c r="F6" s="46">
        <v>7</v>
      </c>
      <c r="G6" s="185" t="s">
        <v>13</v>
      </c>
      <c r="H6" s="47"/>
      <c r="I6" s="47" t="s">
        <v>10</v>
      </c>
      <c r="J6" s="46">
        <v>7</v>
      </c>
      <c r="K6" s="48"/>
      <c r="L6" s="115"/>
      <c r="M6" s="115"/>
      <c r="N6" s="115"/>
      <c r="O6" s="115"/>
    </row>
    <row r="7" spans="1:15" ht="18" x14ac:dyDescent="0.2">
      <c r="A7" s="238"/>
      <c r="B7" s="233"/>
      <c r="C7" s="49"/>
      <c r="D7" s="44" t="s">
        <v>7</v>
      </c>
      <c r="E7" s="45"/>
      <c r="F7" s="46">
        <v>7</v>
      </c>
      <c r="G7" s="235"/>
      <c r="H7" s="50"/>
      <c r="I7" s="51" t="s">
        <v>10</v>
      </c>
      <c r="J7" s="46">
        <v>7</v>
      </c>
      <c r="K7" s="52"/>
      <c r="L7" s="115"/>
      <c r="M7" s="115"/>
      <c r="N7" s="115"/>
      <c r="O7" s="115"/>
    </row>
    <row r="8" spans="1:15" ht="18" x14ac:dyDescent="0.2">
      <c r="A8" s="238"/>
      <c r="B8" s="233"/>
      <c r="C8" s="49"/>
      <c r="D8" s="44" t="s">
        <v>7</v>
      </c>
      <c r="E8" s="45"/>
      <c r="F8" s="46">
        <v>7</v>
      </c>
      <c r="G8" s="235"/>
      <c r="H8" s="50"/>
      <c r="I8" s="51" t="s">
        <v>10</v>
      </c>
      <c r="J8" s="46">
        <v>7</v>
      </c>
      <c r="K8" s="52"/>
      <c r="L8" s="115"/>
      <c r="M8" s="115"/>
      <c r="N8" s="115"/>
      <c r="O8" s="115"/>
    </row>
    <row r="9" spans="1:15" ht="18.75" thickBot="1" x14ac:dyDescent="0.25">
      <c r="A9" s="238"/>
      <c r="B9" s="234"/>
      <c r="C9" s="53"/>
      <c r="D9" s="54" t="s">
        <v>7</v>
      </c>
      <c r="E9" s="55"/>
      <c r="F9" s="56">
        <v>7</v>
      </c>
      <c r="G9" s="236"/>
      <c r="H9" s="57"/>
      <c r="I9" s="58" t="s">
        <v>10</v>
      </c>
      <c r="J9" s="56">
        <v>7</v>
      </c>
      <c r="K9" s="59"/>
      <c r="L9" s="115"/>
      <c r="M9" s="115"/>
      <c r="N9" s="115"/>
      <c r="O9" s="115"/>
    </row>
    <row r="10" spans="1:15" ht="18" customHeight="1" x14ac:dyDescent="0.2">
      <c r="A10" s="237">
        <v>45293</v>
      </c>
      <c r="B10" s="202" t="s">
        <v>14</v>
      </c>
      <c r="C10" s="60"/>
      <c r="D10" s="60" t="s">
        <v>7</v>
      </c>
      <c r="E10" s="61"/>
      <c r="F10" s="62">
        <v>7</v>
      </c>
      <c r="G10" s="205" t="s">
        <v>14</v>
      </c>
      <c r="H10" s="44"/>
      <c r="I10" s="44" t="s">
        <v>10</v>
      </c>
      <c r="J10" s="62">
        <v>7</v>
      </c>
      <c r="K10" s="45"/>
      <c r="L10" s="115"/>
      <c r="M10" s="115"/>
      <c r="N10" s="115"/>
      <c r="O10" s="115"/>
    </row>
    <row r="11" spans="1:15" ht="18" customHeight="1" x14ac:dyDescent="0.2">
      <c r="A11" s="238"/>
      <c r="B11" s="203"/>
      <c r="C11" s="63"/>
      <c r="D11" s="64" t="s">
        <v>7</v>
      </c>
      <c r="E11" s="65"/>
      <c r="F11" s="66">
        <v>7</v>
      </c>
      <c r="G11" s="206"/>
      <c r="H11" s="49"/>
      <c r="I11" s="44" t="s">
        <v>10</v>
      </c>
      <c r="J11" s="66">
        <v>7</v>
      </c>
      <c r="K11" s="67"/>
      <c r="L11" s="115"/>
      <c r="M11" s="115"/>
      <c r="N11" s="115"/>
      <c r="O11" s="115"/>
    </row>
    <row r="12" spans="1:15" ht="18" customHeight="1" x14ac:dyDescent="0.2">
      <c r="A12" s="238"/>
      <c r="B12" s="203"/>
      <c r="C12" s="63"/>
      <c r="D12" s="64" t="s">
        <v>7</v>
      </c>
      <c r="E12" s="65"/>
      <c r="F12" s="66">
        <v>7</v>
      </c>
      <c r="G12" s="206"/>
      <c r="H12" s="49"/>
      <c r="I12" s="44" t="s">
        <v>10</v>
      </c>
      <c r="J12" s="66">
        <v>7</v>
      </c>
      <c r="K12" s="67"/>
      <c r="L12" s="115"/>
      <c r="M12" s="115"/>
      <c r="N12" s="115"/>
      <c r="O12" s="115"/>
    </row>
    <row r="13" spans="1:15" ht="18.75" customHeight="1" thickBot="1" x14ac:dyDescent="0.25">
      <c r="A13" s="238"/>
      <c r="B13" s="204"/>
      <c r="C13" s="68"/>
      <c r="D13" s="69" t="s">
        <v>7</v>
      </c>
      <c r="E13" s="70"/>
      <c r="F13" s="71">
        <v>7</v>
      </c>
      <c r="G13" s="207"/>
      <c r="H13" s="53"/>
      <c r="I13" s="54" t="s">
        <v>10</v>
      </c>
      <c r="J13" s="71">
        <v>7</v>
      </c>
      <c r="K13" s="72"/>
      <c r="L13" s="115"/>
      <c r="M13" s="115"/>
      <c r="N13" s="115"/>
      <c r="O13" s="115"/>
    </row>
    <row r="14" spans="1:15" ht="18" customHeight="1" x14ac:dyDescent="0.2">
      <c r="A14" s="237">
        <v>45294</v>
      </c>
      <c r="B14" s="208" t="s">
        <v>15</v>
      </c>
      <c r="C14" s="16"/>
      <c r="D14" s="16" t="s">
        <v>7</v>
      </c>
      <c r="E14" s="73"/>
      <c r="F14" s="74">
        <v>7</v>
      </c>
      <c r="G14" s="211" t="s">
        <v>15</v>
      </c>
      <c r="H14" s="75"/>
      <c r="I14" s="75" t="s">
        <v>10</v>
      </c>
      <c r="J14" s="74">
        <v>7</v>
      </c>
      <c r="K14" s="76"/>
      <c r="L14" s="115"/>
      <c r="M14" s="115"/>
      <c r="N14" s="115"/>
      <c r="O14" s="115"/>
    </row>
    <row r="15" spans="1:15" ht="18" customHeight="1" x14ac:dyDescent="0.2">
      <c r="A15" s="238"/>
      <c r="B15" s="209"/>
      <c r="C15" s="15"/>
      <c r="D15" s="16" t="s">
        <v>7</v>
      </c>
      <c r="E15" s="73"/>
      <c r="F15" s="74">
        <v>7</v>
      </c>
      <c r="G15" s="212"/>
      <c r="H15" s="77"/>
      <c r="I15" s="78" t="s">
        <v>10</v>
      </c>
      <c r="J15" s="74">
        <v>7</v>
      </c>
      <c r="K15" s="79"/>
      <c r="L15" s="115"/>
      <c r="M15" s="115"/>
      <c r="N15" s="115"/>
      <c r="O15" s="115"/>
    </row>
    <row r="16" spans="1:15" ht="18" customHeight="1" x14ac:dyDescent="0.2">
      <c r="A16" s="238"/>
      <c r="B16" s="209"/>
      <c r="C16" s="15"/>
      <c r="D16" s="16" t="s">
        <v>7</v>
      </c>
      <c r="E16" s="73"/>
      <c r="F16" s="74">
        <v>7</v>
      </c>
      <c r="G16" s="212"/>
      <c r="H16" s="77"/>
      <c r="I16" s="78" t="s">
        <v>10</v>
      </c>
      <c r="J16" s="74">
        <v>7</v>
      </c>
      <c r="K16" s="79"/>
      <c r="L16" s="115"/>
      <c r="M16" s="115"/>
      <c r="N16" s="115"/>
      <c r="O16" s="115"/>
    </row>
    <row r="17" spans="1:15" ht="18.75" customHeight="1" thickBot="1" x14ac:dyDescent="0.25">
      <c r="A17" s="238"/>
      <c r="B17" s="210"/>
      <c r="C17" s="80"/>
      <c r="D17" s="81" t="s">
        <v>7</v>
      </c>
      <c r="E17" s="82"/>
      <c r="F17" s="83">
        <v>7</v>
      </c>
      <c r="G17" s="213"/>
      <c r="H17" s="84"/>
      <c r="I17" s="85" t="s">
        <v>10</v>
      </c>
      <c r="J17" s="83">
        <v>7</v>
      </c>
      <c r="K17" s="86"/>
      <c r="L17" s="115"/>
      <c r="M17" s="115"/>
      <c r="N17" s="115"/>
      <c r="O17" s="115"/>
    </row>
    <row r="18" spans="1:15" ht="18" customHeight="1" x14ac:dyDescent="0.2">
      <c r="A18" s="237">
        <v>45295</v>
      </c>
      <c r="B18" s="214" t="s">
        <v>16</v>
      </c>
      <c r="C18" s="87"/>
      <c r="D18" s="87" t="s">
        <v>7</v>
      </c>
      <c r="E18" s="88"/>
      <c r="F18" s="89">
        <v>7</v>
      </c>
      <c r="G18" s="217" t="s">
        <v>16</v>
      </c>
      <c r="H18" s="90"/>
      <c r="I18" s="90" t="s">
        <v>10</v>
      </c>
      <c r="J18" s="89">
        <v>0</v>
      </c>
      <c r="K18" s="91"/>
      <c r="L18" s="115"/>
      <c r="M18" s="115"/>
      <c r="N18" s="115"/>
      <c r="O18" s="115"/>
    </row>
    <row r="19" spans="1:15" ht="18" customHeight="1" x14ac:dyDescent="0.2">
      <c r="A19" s="238"/>
      <c r="B19" s="215"/>
      <c r="C19" s="92"/>
      <c r="D19" s="93" t="s">
        <v>7</v>
      </c>
      <c r="E19" s="94"/>
      <c r="F19" s="95">
        <v>7</v>
      </c>
      <c r="G19" s="218"/>
      <c r="H19" s="96"/>
      <c r="I19" s="97" t="s">
        <v>10</v>
      </c>
      <c r="J19" s="95">
        <v>7</v>
      </c>
      <c r="K19" s="98"/>
      <c r="L19" s="115"/>
      <c r="M19" s="115"/>
      <c r="N19" s="115"/>
      <c r="O19" s="115"/>
    </row>
    <row r="20" spans="1:15" ht="18" customHeight="1" x14ac:dyDescent="0.2">
      <c r="A20" s="238"/>
      <c r="B20" s="215"/>
      <c r="C20" s="92"/>
      <c r="D20" s="93" t="s">
        <v>7</v>
      </c>
      <c r="E20" s="94"/>
      <c r="F20" s="95">
        <v>7</v>
      </c>
      <c r="G20" s="218"/>
      <c r="H20" s="96"/>
      <c r="I20" s="97" t="s">
        <v>10</v>
      </c>
      <c r="J20" s="95">
        <v>7</v>
      </c>
      <c r="K20" s="98"/>
      <c r="L20" s="115"/>
      <c r="M20" s="115"/>
      <c r="N20" s="115"/>
      <c r="O20" s="115"/>
    </row>
    <row r="21" spans="1:15" ht="18.75" customHeight="1" thickBot="1" x14ac:dyDescent="0.25">
      <c r="A21" s="238"/>
      <c r="B21" s="216"/>
      <c r="C21" s="99"/>
      <c r="D21" s="100" t="s">
        <v>7</v>
      </c>
      <c r="E21" s="101"/>
      <c r="F21" s="102">
        <v>7</v>
      </c>
      <c r="G21" s="219"/>
      <c r="H21" s="103"/>
      <c r="I21" s="104" t="s">
        <v>10</v>
      </c>
      <c r="J21" s="102">
        <v>7</v>
      </c>
      <c r="K21" s="105"/>
      <c r="L21" s="115"/>
      <c r="M21" s="115"/>
      <c r="N21" s="115"/>
      <c r="O21" s="115"/>
    </row>
    <row r="22" spans="1:15" ht="18" customHeight="1" x14ac:dyDescent="0.35">
      <c r="A22" s="118"/>
      <c r="B22" s="106"/>
      <c r="C22" s="107"/>
      <c r="D22" s="194" t="s">
        <v>36</v>
      </c>
      <c r="E22" s="195"/>
      <c r="F22" s="108">
        <f>SUM(F6:F21)</f>
        <v>112</v>
      </c>
      <c r="G22" s="107"/>
      <c r="H22" s="185" t="s">
        <v>36</v>
      </c>
      <c r="I22" s="186"/>
      <c r="J22" s="108">
        <f>SUM(J6:J21)</f>
        <v>105</v>
      </c>
      <c r="K22" s="109"/>
      <c r="L22" s="115"/>
      <c r="M22" s="115"/>
      <c r="N22" s="115"/>
      <c r="O22" s="115"/>
    </row>
    <row r="23" spans="1:15" ht="18.75" customHeight="1" thickBot="1" x14ac:dyDescent="0.4">
      <c r="A23" s="119"/>
      <c r="B23" s="110"/>
      <c r="C23" s="111"/>
      <c r="D23" s="187" t="s">
        <v>21</v>
      </c>
      <c r="E23" s="188"/>
      <c r="F23" s="112">
        <f>F22/160*1</f>
        <v>0.7</v>
      </c>
      <c r="G23" s="111"/>
      <c r="H23" s="189" t="s">
        <v>22</v>
      </c>
      <c r="I23" s="190"/>
      <c r="J23" s="113">
        <f>J22/160*1</f>
        <v>0.65625</v>
      </c>
      <c r="K23" s="114"/>
      <c r="L23" s="115"/>
      <c r="M23" s="115"/>
      <c r="N23" s="115"/>
      <c r="O23" s="115"/>
    </row>
    <row r="24" spans="1:15" ht="18.75" customHeight="1" thickBot="1" x14ac:dyDescent="0.4">
      <c r="A24" s="120">
        <v>2</v>
      </c>
      <c r="B24" s="115"/>
      <c r="C24" s="115"/>
      <c r="D24" s="115"/>
      <c r="E24" s="115"/>
      <c r="F24" s="116"/>
      <c r="G24" s="115"/>
      <c r="H24" s="115"/>
      <c r="I24" s="117"/>
      <c r="J24" s="116"/>
      <c r="K24" s="115"/>
      <c r="L24" s="115"/>
      <c r="M24" s="115"/>
      <c r="N24" s="115"/>
      <c r="O24" s="115"/>
    </row>
    <row r="25" spans="1:15" ht="21" thickBot="1" x14ac:dyDescent="0.35">
      <c r="A25" s="244" t="s">
        <v>25</v>
      </c>
      <c r="B25" s="191" t="s">
        <v>0</v>
      </c>
      <c r="C25" s="192"/>
      <c r="D25" s="192"/>
      <c r="E25" s="192"/>
      <c r="F25" s="192"/>
      <c r="G25" s="192"/>
      <c r="H25" s="192"/>
      <c r="I25" s="192"/>
      <c r="J25" s="192"/>
      <c r="K25" s="193"/>
      <c r="L25" s="115"/>
      <c r="M25" s="115"/>
      <c r="N25" s="115"/>
      <c r="O25" s="115"/>
    </row>
    <row r="26" spans="1:15" ht="21" thickBot="1" x14ac:dyDescent="0.35">
      <c r="A26" s="245"/>
      <c r="B26" s="196" t="s">
        <v>17</v>
      </c>
      <c r="C26" s="197"/>
      <c r="D26" s="197"/>
      <c r="E26" s="197"/>
      <c r="F26" s="198"/>
      <c r="G26" s="199" t="s">
        <v>1</v>
      </c>
      <c r="H26" s="200"/>
      <c r="I26" s="200"/>
      <c r="J26" s="200"/>
      <c r="K26" s="201"/>
      <c r="L26" s="115"/>
      <c r="M26" s="115"/>
      <c r="N26" s="115"/>
      <c r="O26" s="115"/>
    </row>
    <row r="27" spans="1:15" ht="41.25" thickBot="1" x14ac:dyDescent="0.25">
      <c r="A27" s="246"/>
      <c r="B27" s="2" t="s">
        <v>2</v>
      </c>
      <c r="C27" s="3" t="s">
        <v>6</v>
      </c>
      <c r="D27" s="3" t="s">
        <v>7</v>
      </c>
      <c r="E27" s="3" t="s">
        <v>8</v>
      </c>
      <c r="F27" s="4" t="s">
        <v>19</v>
      </c>
      <c r="G27" s="5" t="s">
        <v>2</v>
      </c>
      <c r="H27" s="6" t="s">
        <v>3</v>
      </c>
      <c r="I27" s="6" t="s">
        <v>4</v>
      </c>
      <c r="J27" s="7" t="s">
        <v>18</v>
      </c>
      <c r="K27" s="8" t="s">
        <v>5</v>
      </c>
      <c r="L27" s="115"/>
      <c r="M27" s="115"/>
      <c r="N27" s="115"/>
      <c r="O27" s="115"/>
    </row>
    <row r="28" spans="1:15" ht="18" x14ac:dyDescent="0.2">
      <c r="A28" s="237">
        <v>45297</v>
      </c>
      <c r="B28" s="220" t="s">
        <v>9</v>
      </c>
      <c r="C28" s="9"/>
      <c r="D28" s="9" t="s">
        <v>7</v>
      </c>
      <c r="E28" s="10"/>
      <c r="F28" s="11">
        <v>7</v>
      </c>
      <c r="G28" s="223" t="s">
        <v>9</v>
      </c>
      <c r="H28" s="12"/>
      <c r="I28" s="12" t="s">
        <v>10</v>
      </c>
      <c r="J28" s="11">
        <v>7</v>
      </c>
      <c r="K28" s="13"/>
      <c r="L28" s="115"/>
      <c r="M28" s="115"/>
      <c r="N28" s="115"/>
      <c r="O28" s="115"/>
    </row>
    <row r="29" spans="1:15" ht="18" x14ac:dyDescent="0.2">
      <c r="A29" s="238"/>
      <c r="B29" s="221"/>
      <c r="C29" s="14"/>
      <c r="D29" s="9" t="s">
        <v>7</v>
      </c>
      <c r="E29" s="10"/>
      <c r="F29" s="11">
        <v>7</v>
      </c>
      <c r="G29" s="224"/>
      <c r="H29" s="15"/>
      <c r="I29" s="16" t="s">
        <v>10</v>
      </c>
      <c r="J29" s="11">
        <v>7</v>
      </c>
      <c r="K29" s="17"/>
      <c r="L29" s="115"/>
      <c r="M29" s="115"/>
      <c r="N29" s="115"/>
      <c r="O29" s="115"/>
    </row>
    <row r="30" spans="1:15" ht="18" x14ac:dyDescent="0.2">
      <c r="A30" s="238"/>
      <c r="B30" s="221"/>
      <c r="C30" s="14"/>
      <c r="D30" s="9" t="s">
        <v>7</v>
      </c>
      <c r="E30" s="10"/>
      <c r="F30" s="11">
        <v>7</v>
      </c>
      <c r="G30" s="224"/>
      <c r="H30" s="15"/>
      <c r="I30" s="16" t="s">
        <v>10</v>
      </c>
      <c r="J30" s="11">
        <v>7</v>
      </c>
      <c r="K30" s="17"/>
      <c r="L30" s="115"/>
      <c r="M30" s="115"/>
      <c r="N30" s="115"/>
      <c r="O30" s="115"/>
    </row>
    <row r="31" spans="1:15" ht="18.75" thickBot="1" x14ac:dyDescent="0.25">
      <c r="A31" s="238"/>
      <c r="B31" s="222"/>
      <c r="C31" s="18"/>
      <c r="D31" s="19" t="s">
        <v>7</v>
      </c>
      <c r="E31" s="20"/>
      <c r="F31" s="21">
        <v>7</v>
      </c>
      <c r="G31" s="225"/>
      <c r="H31" s="22"/>
      <c r="I31" s="23" t="s">
        <v>10</v>
      </c>
      <c r="J31" s="21">
        <v>7</v>
      </c>
      <c r="K31" s="24"/>
      <c r="L31" s="115"/>
      <c r="M31" s="115"/>
      <c r="N31" s="115"/>
      <c r="O31" s="115"/>
    </row>
    <row r="32" spans="1:15" ht="18" customHeight="1" x14ac:dyDescent="0.2">
      <c r="A32" s="237">
        <v>45298</v>
      </c>
      <c r="B32" s="226" t="s">
        <v>12</v>
      </c>
      <c r="C32" s="25"/>
      <c r="D32" s="25" t="s">
        <v>7</v>
      </c>
      <c r="E32" s="26"/>
      <c r="F32" s="27">
        <v>7</v>
      </c>
      <c r="G32" s="229" t="s">
        <v>12</v>
      </c>
      <c r="H32" s="28"/>
      <c r="I32" s="28" t="s">
        <v>10</v>
      </c>
      <c r="J32" s="27">
        <v>7</v>
      </c>
      <c r="K32" s="29"/>
      <c r="L32" s="115"/>
      <c r="M32" s="115"/>
      <c r="N32" s="115"/>
      <c r="O32" s="115"/>
    </row>
    <row r="33" spans="1:15" ht="18" customHeight="1" x14ac:dyDescent="0.2">
      <c r="A33" s="238"/>
      <c r="B33" s="227"/>
      <c r="C33" s="30"/>
      <c r="D33" s="31" t="s">
        <v>7</v>
      </c>
      <c r="E33" s="32"/>
      <c r="F33" s="33">
        <v>7</v>
      </c>
      <c r="G33" s="230"/>
      <c r="H33" s="34"/>
      <c r="I33" s="35" t="s">
        <v>10</v>
      </c>
      <c r="J33" s="33">
        <v>7</v>
      </c>
      <c r="K33" s="36"/>
      <c r="L33" s="115"/>
      <c r="M33" s="115"/>
      <c r="N33" s="115"/>
      <c r="O33" s="115"/>
    </row>
    <row r="34" spans="1:15" ht="18" customHeight="1" x14ac:dyDescent="0.2">
      <c r="A34" s="238"/>
      <c r="B34" s="227"/>
      <c r="C34" s="30"/>
      <c r="D34" s="31" t="s">
        <v>7</v>
      </c>
      <c r="E34" s="32"/>
      <c r="F34" s="33">
        <v>7</v>
      </c>
      <c r="G34" s="230"/>
      <c r="H34" s="34"/>
      <c r="I34" s="35" t="s">
        <v>10</v>
      </c>
      <c r="J34" s="33">
        <v>7</v>
      </c>
      <c r="K34" s="36"/>
      <c r="L34" s="115"/>
      <c r="M34" s="115"/>
      <c r="N34" s="115"/>
      <c r="O34" s="115"/>
    </row>
    <row r="35" spans="1:15" ht="18.75" customHeight="1" thickBot="1" x14ac:dyDescent="0.25">
      <c r="A35" s="238"/>
      <c r="B35" s="228"/>
      <c r="C35" s="37"/>
      <c r="D35" s="38" t="s">
        <v>7</v>
      </c>
      <c r="E35" s="39"/>
      <c r="F35" s="40">
        <v>7</v>
      </c>
      <c r="G35" s="231"/>
      <c r="H35" s="41"/>
      <c r="I35" s="42" t="s">
        <v>10</v>
      </c>
      <c r="J35" s="40">
        <v>7</v>
      </c>
      <c r="K35" s="43"/>
      <c r="L35" s="115"/>
      <c r="M35" s="115"/>
      <c r="N35" s="115"/>
      <c r="O35" s="115"/>
    </row>
    <row r="36" spans="1:15" ht="18" customHeight="1" x14ac:dyDescent="0.2">
      <c r="A36" s="237">
        <v>45299</v>
      </c>
      <c r="B36" s="232" t="s">
        <v>13</v>
      </c>
      <c r="C36" s="44"/>
      <c r="D36" s="44" t="s">
        <v>7</v>
      </c>
      <c r="E36" s="45"/>
      <c r="F36" s="46">
        <v>7</v>
      </c>
      <c r="G36" s="185" t="s">
        <v>13</v>
      </c>
      <c r="H36" s="47"/>
      <c r="I36" s="47" t="s">
        <v>10</v>
      </c>
      <c r="J36" s="46">
        <v>7</v>
      </c>
      <c r="K36" s="48"/>
      <c r="L36" s="115"/>
      <c r="M36" s="115"/>
      <c r="N36" s="115"/>
      <c r="O36" s="115"/>
    </row>
    <row r="37" spans="1:15" ht="18" customHeight="1" x14ac:dyDescent="0.2">
      <c r="A37" s="238"/>
      <c r="B37" s="233"/>
      <c r="C37" s="49"/>
      <c r="D37" s="44" t="s">
        <v>7</v>
      </c>
      <c r="E37" s="45"/>
      <c r="F37" s="46">
        <v>7</v>
      </c>
      <c r="G37" s="235"/>
      <c r="H37" s="50"/>
      <c r="I37" s="51" t="s">
        <v>10</v>
      </c>
      <c r="J37" s="46">
        <v>7</v>
      </c>
      <c r="K37" s="52"/>
      <c r="L37" s="115"/>
      <c r="M37" s="115"/>
      <c r="N37" s="115"/>
      <c r="O37" s="115"/>
    </row>
    <row r="38" spans="1:15" ht="18" customHeight="1" x14ac:dyDescent="0.2">
      <c r="A38" s="238"/>
      <c r="B38" s="233"/>
      <c r="C38" s="49"/>
      <c r="D38" s="44" t="s">
        <v>7</v>
      </c>
      <c r="E38" s="45"/>
      <c r="F38" s="46">
        <v>7</v>
      </c>
      <c r="G38" s="235"/>
      <c r="H38" s="50"/>
      <c r="I38" s="51" t="s">
        <v>10</v>
      </c>
      <c r="J38" s="46">
        <v>7</v>
      </c>
      <c r="K38" s="52"/>
      <c r="L38" s="115"/>
      <c r="M38" s="115"/>
      <c r="N38" s="115"/>
      <c r="O38" s="115"/>
    </row>
    <row r="39" spans="1:15" ht="18.75" customHeight="1" thickBot="1" x14ac:dyDescent="0.25">
      <c r="A39" s="238"/>
      <c r="B39" s="234"/>
      <c r="C39" s="53"/>
      <c r="D39" s="54" t="s">
        <v>7</v>
      </c>
      <c r="E39" s="55"/>
      <c r="F39" s="56">
        <v>7</v>
      </c>
      <c r="G39" s="236"/>
      <c r="H39" s="57"/>
      <c r="I39" s="58" t="s">
        <v>10</v>
      </c>
      <c r="J39" s="56">
        <v>7</v>
      </c>
      <c r="K39" s="59"/>
      <c r="L39" s="115"/>
      <c r="M39" s="115"/>
      <c r="N39" s="115"/>
      <c r="O39" s="115"/>
    </row>
    <row r="40" spans="1:15" ht="18" customHeight="1" x14ac:dyDescent="0.2">
      <c r="A40" s="237">
        <v>45300</v>
      </c>
      <c r="B40" s="202" t="s">
        <v>14</v>
      </c>
      <c r="C40" s="60"/>
      <c r="D40" s="60" t="s">
        <v>7</v>
      </c>
      <c r="E40" s="61"/>
      <c r="F40" s="62">
        <v>7</v>
      </c>
      <c r="G40" s="205" t="s">
        <v>14</v>
      </c>
      <c r="H40" s="44"/>
      <c r="I40" s="44" t="s">
        <v>10</v>
      </c>
      <c r="J40" s="62">
        <v>7</v>
      </c>
      <c r="K40" s="45"/>
      <c r="L40" s="115"/>
      <c r="M40" s="115"/>
      <c r="N40" s="115"/>
      <c r="O40" s="115"/>
    </row>
    <row r="41" spans="1:15" ht="18" customHeight="1" x14ac:dyDescent="0.2">
      <c r="A41" s="238"/>
      <c r="B41" s="203"/>
      <c r="C41" s="63"/>
      <c r="D41" s="64" t="s">
        <v>7</v>
      </c>
      <c r="E41" s="65"/>
      <c r="F41" s="66">
        <v>7</v>
      </c>
      <c r="G41" s="206"/>
      <c r="H41" s="49"/>
      <c r="I41" s="44" t="s">
        <v>10</v>
      </c>
      <c r="J41" s="66">
        <v>7</v>
      </c>
      <c r="K41" s="67"/>
      <c r="L41" s="115"/>
      <c r="M41" s="115"/>
      <c r="N41" s="115"/>
      <c r="O41" s="115"/>
    </row>
    <row r="42" spans="1:15" ht="18" customHeight="1" x14ac:dyDescent="0.2">
      <c r="A42" s="238"/>
      <c r="B42" s="203"/>
      <c r="C42" s="63"/>
      <c r="D42" s="64" t="s">
        <v>7</v>
      </c>
      <c r="E42" s="65"/>
      <c r="F42" s="66">
        <v>7</v>
      </c>
      <c r="G42" s="206"/>
      <c r="H42" s="49"/>
      <c r="I42" s="44" t="s">
        <v>10</v>
      </c>
      <c r="J42" s="66">
        <v>7</v>
      </c>
      <c r="K42" s="67"/>
      <c r="L42" s="115"/>
      <c r="M42" s="115"/>
      <c r="N42" s="115"/>
      <c r="O42" s="115"/>
    </row>
    <row r="43" spans="1:15" ht="18.75" customHeight="1" thickBot="1" x14ac:dyDescent="0.25">
      <c r="A43" s="238"/>
      <c r="B43" s="204"/>
      <c r="C43" s="68"/>
      <c r="D43" s="69" t="s">
        <v>7</v>
      </c>
      <c r="E43" s="70"/>
      <c r="F43" s="71">
        <v>7</v>
      </c>
      <c r="G43" s="207"/>
      <c r="H43" s="53"/>
      <c r="I43" s="54" t="s">
        <v>10</v>
      </c>
      <c r="J43" s="71">
        <v>7</v>
      </c>
      <c r="K43" s="72"/>
      <c r="L43" s="115"/>
      <c r="M43" s="115"/>
      <c r="N43" s="115"/>
      <c r="O43" s="115"/>
    </row>
    <row r="44" spans="1:15" ht="18" customHeight="1" x14ac:dyDescent="0.2">
      <c r="A44" s="237">
        <v>45301</v>
      </c>
      <c r="B44" s="208" t="s">
        <v>15</v>
      </c>
      <c r="C44" s="16"/>
      <c r="D44" s="16" t="s">
        <v>7</v>
      </c>
      <c r="E44" s="73"/>
      <c r="F44" s="74">
        <v>7</v>
      </c>
      <c r="G44" s="211" t="s">
        <v>15</v>
      </c>
      <c r="H44" s="75"/>
      <c r="I44" s="75" t="s">
        <v>10</v>
      </c>
      <c r="J44" s="74">
        <v>7</v>
      </c>
      <c r="K44" s="76"/>
      <c r="L44" s="115"/>
      <c r="M44" s="115"/>
      <c r="N44" s="115"/>
      <c r="O44" s="115"/>
    </row>
    <row r="45" spans="1:15" ht="18" customHeight="1" x14ac:dyDescent="0.2">
      <c r="A45" s="238"/>
      <c r="B45" s="209"/>
      <c r="C45" s="15"/>
      <c r="D45" s="16" t="s">
        <v>7</v>
      </c>
      <c r="E45" s="73"/>
      <c r="F45" s="74">
        <v>7</v>
      </c>
      <c r="G45" s="212"/>
      <c r="H45" s="77"/>
      <c r="I45" s="78" t="s">
        <v>10</v>
      </c>
      <c r="J45" s="74">
        <v>7</v>
      </c>
      <c r="K45" s="79"/>
      <c r="L45" s="115"/>
      <c r="M45" s="115"/>
      <c r="N45" s="115"/>
      <c r="O45" s="115"/>
    </row>
    <row r="46" spans="1:15" ht="18" customHeight="1" x14ac:dyDescent="0.2">
      <c r="A46" s="238"/>
      <c r="B46" s="209"/>
      <c r="C46" s="15"/>
      <c r="D46" s="16" t="s">
        <v>7</v>
      </c>
      <c r="E46" s="73"/>
      <c r="F46" s="74">
        <v>7</v>
      </c>
      <c r="G46" s="212"/>
      <c r="H46" s="77"/>
      <c r="I46" s="78" t="s">
        <v>10</v>
      </c>
      <c r="J46" s="74">
        <v>7</v>
      </c>
      <c r="K46" s="79"/>
      <c r="L46" s="115"/>
      <c r="M46" s="115"/>
      <c r="N46" s="115"/>
      <c r="O46" s="115"/>
    </row>
    <row r="47" spans="1:15" ht="18.75" customHeight="1" thickBot="1" x14ac:dyDescent="0.25">
      <c r="A47" s="238"/>
      <c r="B47" s="210"/>
      <c r="C47" s="80"/>
      <c r="D47" s="81" t="s">
        <v>7</v>
      </c>
      <c r="E47" s="82"/>
      <c r="F47" s="83">
        <v>7</v>
      </c>
      <c r="G47" s="213"/>
      <c r="H47" s="84"/>
      <c r="I47" s="85" t="s">
        <v>10</v>
      </c>
      <c r="J47" s="83">
        <v>7</v>
      </c>
      <c r="K47" s="86"/>
      <c r="L47" s="115"/>
      <c r="M47" s="115"/>
      <c r="N47" s="115"/>
      <c r="O47" s="115"/>
    </row>
    <row r="48" spans="1:15" ht="18" customHeight="1" x14ac:dyDescent="0.2">
      <c r="A48" s="237">
        <v>45302</v>
      </c>
      <c r="B48" s="214" t="s">
        <v>16</v>
      </c>
      <c r="C48" s="87"/>
      <c r="D48" s="87" t="s">
        <v>7</v>
      </c>
      <c r="E48" s="88"/>
      <c r="F48" s="89">
        <v>7</v>
      </c>
      <c r="G48" s="217" t="s">
        <v>16</v>
      </c>
      <c r="H48" s="90"/>
      <c r="I48" s="90" t="s">
        <v>10</v>
      </c>
      <c r="J48" s="89">
        <v>0</v>
      </c>
      <c r="K48" s="91"/>
      <c r="L48" s="115"/>
      <c r="M48" s="115"/>
      <c r="N48" s="115"/>
      <c r="O48" s="115"/>
    </row>
    <row r="49" spans="1:15" ht="18" customHeight="1" x14ac:dyDescent="0.2">
      <c r="A49" s="238"/>
      <c r="B49" s="215"/>
      <c r="C49" s="92"/>
      <c r="D49" s="93" t="s">
        <v>7</v>
      </c>
      <c r="E49" s="94"/>
      <c r="F49" s="95">
        <v>7</v>
      </c>
      <c r="G49" s="218"/>
      <c r="H49" s="96"/>
      <c r="I49" s="97" t="s">
        <v>10</v>
      </c>
      <c r="J49" s="95">
        <v>7</v>
      </c>
      <c r="K49" s="98"/>
      <c r="L49" s="115"/>
      <c r="M49" s="115"/>
      <c r="N49" s="115"/>
      <c r="O49" s="115"/>
    </row>
    <row r="50" spans="1:15" ht="18" customHeight="1" x14ac:dyDescent="0.2">
      <c r="A50" s="238"/>
      <c r="B50" s="215"/>
      <c r="C50" s="92"/>
      <c r="D50" s="93" t="s">
        <v>7</v>
      </c>
      <c r="E50" s="94"/>
      <c r="F50" s="95">
        <v>7</v>
      </c>
      <c r="G50" s="218"/>
      <c r="H50" s="96"/>
      <c r="I50" s="97" t="s">
        <v>10</v>
      </c>
      <c r="J50" s="95">
        <v>7</v>
      </c>
      <c r="K50" s="98"/>
      <c r="L50" s="115"/>
      <c r="M50" s="115"/>
      <c r="N50" s="115"/>
      <c r="O50" s="115"/>
    </row>
    <row r="51" spans="1:15" ht="18.75" customHeight="1" thickBot="1" x14ac:dyDescent="0.25">
      <c r="A51" s="238"/>
      <c r="B51" s="216"/>
      <c r="C51" s="99"/>
      <c r="D51" s="100" t="s">
        <v>7</v>
      </c>
      <c r="E51" s="101"/>
      <c r="F51" s="102">
        <v>7</v>
      </c>
      <c r="G51" s="219"/>
      <c r="H51" s="103"/>
      <c r="I51" s="104" t="s">
        <v>10</v>
      </c>
      <c r="J51" s="102">
        <v>7</v>
      </c>
      <c r="K51" s="105"/>
      <c r="L51" s="115"/>
      <c r="M51" s="115"/>
      <c r="N51" s="115"/>
      <c r="O51" s="115"/>
    </row>
    <row r="52" spans="1:15" ht="23.25" x14ac:dyDescent="0.35">
      <c r="A52" s="118"/>
      <c r="B52" s="106"/>
      <c r="C52" s="107"/>
      <c r="D52" s="194" t="s">
        <v>20</v>
      </c>
      <c r="E52" s="195"/>
      <c r="F52" s="108">
        <f>SUM(F28:F51)</f>
        <v>168</v>
      </c>
      <c r="G52" s="107"/>
      <c r="H52" s="185" t="s">
        <v>20</v>
      </c>
      <c r="I52" s="186"/>
      <c r="J52" s="108">
        <f>SUM(J28:J51)</f>
        <v>161</v>
      </c>
      <c r="K52" s="109"/>
      <c r="L52" s="115"/>
      <c r="M52" s="115"/>
      <c r="N52" s="115"/>
      <c r="O52" s="115"/>
    </row>
    <row r="53" spans="1:15" ht="24" thickBot="1" x14ac:dyDescent="0.4">
      <c r="A53" s="119"/>
      <c r="B53" s="110"/>
      <c r="C53" s="111"/>
      <c r="D53" s="187" t="s">
        <v>21</v>
      </c>
      <c r="E53" s="188"/>
      <c r="F53" s="112">
        <f>F52/240*1</f>
        <v>0.7</v>
      </c>
      <c r="G53" s="111"/>
      <c r="H53" s="189" t="s">
        <v>22</v>
      </c>
      <c r="I53" s="190"/>
      <c r="J53" s="113">
        <f>J52/240*1</f>
        <v>0.67083333333333328</v>
      </c>
      <c r="K53" s="114"/>
      <c r="L53" s="115"/>
      <c r="M53" s="115"/>
      <c r="N53" s="115"/>
      <c r="O53" s="115"/>
    </row>
    <row r="54" spans="1:15" ht="24" thickBot="1" x14ac:dyDescent="0.4">
      <c r="A54" s="120">
        <v>3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</row>
    <row r="55" spans="1:15" ht="21" thickBot="1" x14ac:dyDescent="0.35">
      <c r="A55" s="244" t="s">
        <v>25</v>
      </c>
      <c r="B55" s="191" t="s">
        <v>0</v>
      </c>
      <c r="C55" s="192"/>
      <c r="D55" s="192"/>
      <c r="E55" s="192"/>
      <c r="F55" s="192"/>
      <c r="G55" s="192"/>
      <c r="H55" s="192"/>
      <c r="I55" s="192"/>
      <c r="J55" s="192"/>
      <c r="K55" s="193"/>
      <c r="L55" s="115"/>
      <c r="M55" s="115"/>
      <c r="N55" s="115"/>
      <c r="O55" s="115"/>
    </row>
    <row r="56" spans="1:15" ht="21" thickBot="1" x14ac:dyDescent="0.35">
      <c r="A56" s="245"/>
      <c r="B56" s="196" t="s">
        <v>17</v>
      </c>
      <c r="C56" s="197"/>
      <c r="D56" s="197"/>
      <c r="E56" s="197"/>
      <c r="F56" s="198"/>
      <c r="G56" s="199" t="s">
        <v>1</v>
      </c>
      <c r="H56" s="200"/>
      <c r="I56" s="200"/>
      <c r="J56" s="200"/>
      <c r="K56" s="201"/>
      <c r="L56" s="115"/>
      <c r="M56" s="115"/>
      <c r="N56" s="115"/>
      <c r="O56" s="115"/>
    </row>
    <row r="57" spans="1:15" ht="41.25" thickBot="1" x14ac:dyDescent="0.25">
      <c r="A57" s="246"/>
      <c r="B57" s="2" t="s">
        <v>2</v>
      </c>
      <c r="C57" s="3" t="s">
        <v>6</v>
      </c>
      <c r="D57" s="3" t="s">
        <v>7</v>
      </c>
      <c r="E57" s="3" t="s">
        <v>8</v>
      </c>
      <c r="F57" s="4" t="s">
        <v>19</v>
      </c>
      <c r="G57" s="5" t="s">
        <v>2</v>
      </c>
      <c r="H57" s="6" t="s">
        <v>3</v>
      </c>
      <c r="I57" s="6" t="s">
        <v>4</v>
      </c>
      <c r="J57" s="7" t="s">
        <v>18</v>
      </c>
      <c r="K57" s="8" t="s">
        <v>5</v>
      </c>
      <c r="L57" s="115"/>
      <c r="M57" s="115"/>
      <c r="N57" s="115"/>
      <c r="O57" s="115"/>
    </row>
    <row r="58" spans="1:15" ht="18" x14ac:dyDescent="0.2">
      <c r="A58" s="237">
        <v>45304</v>
      </c>
      <c r="B58" s="220" t="s">
        <v>9</v>
      </c>
      <c r="C58" s="9"/>
      <c r="D58" s="9" t="s">
        <v>7</v>
      </c>
      <c r="E58" s="10"/>
      <c r="F58" s="11">
        <v>7</v>
      </c>
      <c r="G58" s="223" t="s">
        <v>9</v>
      </c>
      <c r="H58" s="12"/>
      <c r="I58" s="12" t="s">
        <v>10</v>
      </c>
      <c r="J58" s="11">
        <v>7</v>
      </c>
      <c r="K58" s="13"/>
      <c r="L58" s="115"/>
      <c r="M58" s="115"/>
      <c r="N58" s="115"/>
      <c r="O58" s="115"/>
    </row>
    <row r="59" spans="1:15" ht="18" x14ac:dyDescent="0.2">
      <c r="A59" s="238"/>
      <c r="B59" s="221"/>
      <c r="C59" s="14"/>
      <c r="D59" s="9" t="s">
        <v>7</v>
      </c>
      <c r="E59" s="10"/>
      <c r="F59" s="11">
        <v>7</v>
      </c>
      <c r="G59" s="224"/>
      <c r="H59" s="15"/>
      <c r="I59" s="16" t="s">
        <v>10</v>
      </c>
      <c r="J59" s="11">
        <v>7</v>
      </c>
      <c r="K59" s="17"/>
      <c r="L59" s="115"/>
      <c r="M59" s="115"/>
      <c r="N59" s="115"/>
      <c r="O59" s="115"/>
    </row>
    <row r="60" spans="1:15" ht="18" x14ac:dyDescent="0.2">
      <c r="A60" s="238"/>
      <c r="B60" s="221"/>
      <c r="C60" s="14"/>
      <c r="D60" s="9" t="s">
        <v>7</v>
      </c>
      <c r="E60" s="10"/>
      <c r="F60" s="11">
        <v>7</v>
      </c>
      <c r="G60" s="224"/>
      <c r="H60" s="15"/>
      <c r="I60" s="16" t="s">
        <v>10</v>
      </c>
      <c r="J60" s="11">
        <v>7</v>
      </c>
      <c r="K60" s="17"/>
      <c r="L60" s="115"/>
      <c r="M60" s="115"/>
      <c r="N60" s="115"/>
      <c r="O60" s="115"/>
    </row>
    <row r="61" spans="1:15" ht="18.75" thickBot="1" x14ac:dyDescent="0.25">
      <c r="A61" s="238"/>
      <c r="B61" s="222"/>
      <c r="C61" s="18"/>
      <c r="D61" s="19" t="s">
        <v>7</v>
      </c>
      <c r="E61" s="20"/>
      <c r="F61" s="21">
        <v>7</v>
      </c>
      <c r="G61" s="225"/>
      <c r="H61" s="22"/>
      <c r="I61" s="23" t="s">
        <v>10</v>
      </c>
      <c r="J61" s="21">
        <v>7</v>
      </c>
      <c r="K61" s="24"/>
      <c r="L61" s="115"/>
      <c r="M61" s="115"/>
      <c r="N61" s="115"/>
      <c r="O61" s="115"/>
    </row>
    <row r="62" spans="1:15" ht="18" customHeight="1" x14ac:dyDescent="0.2">
      <c r="A62" s="237">
        <v>45305</v>
      </c>
      <c r="B62" s="226" t="s">
        <v>12</v>
      </c>
      <c r="C62" s="25"/>
      <c r="D62" s="25" t="s">
        <v>7</v>
      </c>
      <c r="E62" s="26"/>
      <c r="F62" s="27">
        <v>7</v>
      </c>
      <c r="G62" s="229" t="s">
        <v>12</v>
      </c>
      <c r="H62" s="28"/>
      <c r="I62" s="28" t="s">
        <v>10</v>
      </c>
      <c r="J62" s="27">
        <v>7</v>
      </c>
      <c r="K62" s="29"/>
      <c r="L62" s="115"/>
      <c r="M62" s="115"/>
      <c r="N62" s="115"/>
      <c r="O62" s="115"/>
    </row>
    <row r="63" spans="1:15" ht="18" customHeight="1" x14ac:dyDescent="0.2">
      <c r="A63" s="238"/>
      <c r="B63" s="227"/>
      <c r="C63" s="30"/>
      <c r="D63" s="31" t="s">
        <v>7</v>
      </c>
      <c r="E63" s="32"/>
      <c r="F63" s="33">
        <v>7</v>
      </c>
      <c r="G63" s="230"/>
      <c r="H63" s="34"/>
      <c r="I63" s="35" t="s">
        <v>10</v>
      </c>
      <c r="J63" s="33">
        <v>7</v>
      </c>
      <c r="K63" s="36"/>
      <c r="L63" s="115"/>
      <c r="M63" s="115"/>
      <c r="N63" s="115"/>
      <c r="O63" s="115"/>
    </row>
    <row r="64" spans="1:15" ht="18" customHeight="1" x14ac:dyDescent="0.2">
      <c r="A64" s="238"/>
      <c r="B64" s="227"/>
      <c r="C64" s="30"/>
      <c r="D64" s="31" t="s">
        <v>7</v>
      </c>
      <c r="E64" s="32"/>
      <c r="F64" s="33">
        <v>7</v>
      </c>
      <c r="G64" s="230"/>
      <c r="H64" s="34"/>
      <c r="I64" s="35" t="s">
        <v>10</v>
      </c>
      <c r="J64" s="33">
        <v>7</v>
      </c>
      <c r="K64" s="36"/>
      <c r="L64" s="115"/>
      <c r="M64" s="115"/>
      <c r="N64" s="115"/>
      <c r="O64" s="115"/>
    </row>
    <row r="65" spans="1:15" ht="18.75" customHeight="1" thickBot="1" x14ac:dyDescent="0.25">
      <c r="A65" s="238"/>
      <c r="B65" s="228"/>
      <c r="C65" s="37"/>
      <c r="D65" s="38" t="s">
        <v>7</v>
      </c>
      <c r="E65" s="39"/>
      <c r="F65" s="40">
        <v>7</v>
      </c>
      <c r="G65" s="231"/>
      <c r="H65" s="41"/>
      <c r="I65" s="42" t="s">
        <v>10</v>
      </c>
      <c r="J65" s="40">
        <v>7</v>
      </c>
      <c r="K65" s="43"/>
      <c r="L65" s="115"/>
      <c r="M65" s="115"/>
      <c r="N65" s="115"/>
      <c r="O65" s="115"/>
    </row>
    <row r="66" spans="1:15" ht="18" customHeight="1" x14ac:dyDescent="0.2">
      <c r="A66" s="237">
        <v>45306</v>
      </c>
      <c r="B66" s="232" t="s">
        <v>13</v>
      </c>
      <c r="C66" s="44"/>
      <c r="D66" s="44" t="s">
        <v>7</v>
      </c>
      <c r="E66" s="45"/>
      <c r="F66" s="46">
        <v>7</v>
      </c>
      <c r="G66" s="185" t="s">
        <v>13</v>
      </c>
      <c r="H66" s="47"/>
      <c r="I66" s="47" t="s">
        <v>10</v>
      </c>
      <c r="J66" s="46">
        <v>7</v>
      </c>
      <c r="K66" s="48"/>
      <c r="L66" s="115"/>
      <c r="M66" s="115"/>
      <c r="N66" s="115"/>
      <c r="O66" s="115"/>
    </row>
    <row r="67" spans="1:15" ht="18" customHeight="1" x14ac:dyDescent="0.2">
      <c r="A67" s="238"/>
      <c r="B67" s="233"/>
      <c r="C67" s="49"/>
      <c r="D67" s="44" t="s">
        <v>7</v>
      </c>
      <c r="E67" s="45"/>
      <c r="F67" s="46">
        <v>7</v>
      </c>
      <c r="G67" s="235"/>
      <c r="H67" s="50"/>
      <c r="I67" s="51" t="s">
        <v>10</v>
      </c>
      <c r="J67" s="46">
        <v>7</v>
      </c>
      <c r="K67" s="52"/>
      <c r="L67" s="115"/>
      <c r="M67" s="115"/>
      <c r="N67" s="115"/>
      <c r="O67" s="115"/>
    </row>
    <row r="68" spans="1:15" ht="18" customHeight="1" x14ac:dyDescent="0.2">
      <c r="A68" s="238"/>
      <c r="B68" s="233"/>
      <c r="C68" s="49"/>
      <c r="D68" s="44" t="s">
        <v>7</v>
      </c>
      <c r="E68" s="45"/>
      <c r="F68" s="46">
        <v>7</v>
      </c>
      <c r="G68" s="235"/>
      <c r="H68" s="50"/>
      <c r="I68" s="51" t="s">
        <v>10</v>
      </c>
      <c r="J68" s="46">
        <v>7</v>
      </c>
      <c r="K68" s="52"/>
      <c r="L68" s="115"/>
      <c r="M68" s="115"/>
      <c r="N68" s="115"/>
      <c r="O68" s="115"/>
    </row>
    <row r="69" spans="1:15" ht="18.75" customHeight="1" thickBot="1" x14ac:dyDescent="0.25">
      <c r="A69" s="238"/>
      <c r="B69" s="234"/>
      <c r="C69" s="53"/>
      <c r="D69" s="54" t="s">
        <v>7</v>
      </c>
      <c r="E69" s="55"/>
      <c r="F69" s="56">
        <v>7</v>
      </c>
      <c r="G69" s="236"/>
      <c r="H69" s="57"/>
      <c r="I69" s="58" t="s">
        <v>10</v>
      </c>
      <c r="J69" s="56">
        <v>7</v>
      </c>
      <c r="K69" s="59"/>
      <c r="L69" s="115"/>
      <c r="M69" s="115"/>
      <c r="N69" s="115"/>
      <c r="O69" s="115"/>
    </row>
    <row r="70" spans="1:15" ht="18" customHeight="1" x14ac:dyDescent="0.2">
      <c r="A70" s="237">
        <v>45307</v>
      </c>
      <c r="B70" s="202" t="s">
        <v>14</v>
      </c>
      <c r="C70" s="60"/>
      <c r="D70" s="60" t="s">
        <v>7</v>
      </c>
      <c r="E70" s="61"/>
      <c r="F70" s="62">
        <v>7</v>
      </c>
      <c r="G70" s="205" t="s">
        <v>14</v>
      </c>
      <c r="H70" s="44"/>
      <c r="I70" s="44" t="s">
        <v>10</v>
      </c>
      <c r="J70" s="62">
        <v>7</v>
      </c>
      <c r="K70" s="45"/>
      <c r="L70" s="115"/>
      <c r="M70" s="115"/>
      <c r="N70" s="115"/>
      <c r="O70" s="115"/>
    </row>
    <row r="71" spans="1:15" ht="18" customHeight="1" x14ac:dyDescent="0.2">
      <c r="A71" s="238"/>
      <c r="B71" s="203"/>
      <c r="C71" s="63"/>
      <c r="D71" s="64" t="s">
        <v>7</v>
      </c>
      <c r="E71" s="65"/>
      <c r="F71" s="66">
        <v>7</v>
      </c>
      <c r="G71" s="206"/>
      <c r="H71" s="49"/>
      <c r="I71" s="44" t="s">
        <v>10</v>
      </c>
      <c r="J71" s="66">
        <v>7</v>
      </c>
      <c r="K71" s="67"/>
      <c r="L71" s="115"/>
      <c r="M71" s="115"/>
      <c r="N71" s="115"/>
      <c r="O71" s="115"/>
    </row>
    <row r="72" spans="1:15" ht="18" customHeight="1" x14ac:dyDescent="0.2">
      <c r="A72" s="238"/>
      <c r="B72" s="203"/>
      <c r="C72" s="63"/>
      <c r="D72" s="64" t="s">
        <v>7</v>
      </c>
      <c r="E72" s="65"/>
      <c r="F72" s="66">
        <v>7</v>
      </c>
      <c r="G72" s="206"/>
      <c r="H72" s="49"/>
      <c r="I72" s="44" t="s">
        <v>10</v>
      </c>
      <c r="J72" s="66">
        <v>7</v>
      </c>
      <c r="K72" s="67"/>
      <c r="L72" s="115"/>
      <c r="M72" s="115"/>
      <c r="N72" s="115"/>
      <c r="O72" s="115"/>
    </row>
    <row r="73" spans="1:15" ht="18.75" customHeight="1" thickBot="1" x14ac:dyDescent="0.25">
      <c r="A73" s="238"/>
      <c r="B73" s="204"/>
      <c r="C73" s="68"/>
      <c r="D73" s="69" t="s">
        <v>7</v>
      </c>
      <c r="E73" s="70"/>
      <c r="F73" s="71">
        <v>7</v>
      </c>
      <c r="G73" s="207"/>
      <c r="H73" s="53"/>
      <c r="I73" s="54" t="s">
        <v>10</v>
      </c>
      <c r="J73" s="71">
        <v>7</v>
      </c>
      <c r="K73" s="72"/>
      <c r="L73" s="115"/>
      <c r="M73" s="115"/>
      <c r="N73" s="115"/>
      <c r="O73" s="115"/>
    </row>
    <row r="74" spans="1:15" ht="18" customHeight="1" x14ac:dyDescent="0.2">
      <c r="A74" s="237">
        <v>45308</v>
      </c>
      <c r="B74" s="208" t="s">
        <v>15</v>
      </c>
      <c r="C74" s="16"/>
      <c r="D74" s="16" t="s">
        <v>7</v>
      </c>
      <c r="E74" s="73"/>
      <c r="F74" s="74">
        <v>7</v>
      </c>
      <c r="G74" s="211" t="s">
        <v>15</v>
      </c>
      <c r="H74" s="75"/>
      <c r="I74" s="75" t="s">
        <v>10</v>
      </c>
      <c r="J74" s="74">
        <v>7</v>
      </c>
      <c r="K74" s="76"/>
      <c r="L74" s="115"/>
      <c r="M74" s="115"/>
      <c r="N74" s="115"/>
      <c r="O74" s="115"/>
    </row>
    <row r="75" spans="1:15" ht="18" customHeight="1" x14ac:dyDescent="0.2">
      <c r="A75" s="238"/>
      <c r="B75" s="209"/>
      <c r="C75" s="15"/>
      <c r="D75" s="16" t="s">
        <v>7</v>
      </c>
      <c r="E75" s="73"/>
      <c r="F75" s="74">
        <v>7</v>
      </c>
      <c r="G75" s="212"/>
      <c r="H75" s="77"/>
      <c r="I75" s="78" t="s">
        <v>10</v>
      </c>
      <c r="J75" s="74">
        <v>7</v>
      </c>
      <c r="K75" s="79"/>
      <c r="L75" s="115"/>
      <c r="M75" s="115"/>
      <c r="N75" s="115"/>
      <c r="O75" s="115"/>
    </row>
    <row r="76" spans="1:15" ht="18" customHeight="1" x14ac:dyDescent="0.2">
      <c r="A76" s="238"/>
      <c r="B76" s="209"/>
      <c r="C76" s="15"/>
      <c r="D76" s="16" t="s">
        <v>7</v>
      </c>
      <c r="E76" s="73"/>
      <c r="F76" s="74">
        <v>7</v>
      </c>
      <c r="G76" s="212"/>
      <c r="H76" s="77"/>
      <c r="I76" s="78" t="s">
        <v>10</v>
      </c>
      <c r="J76" s="74">
        <v>7</v>
      </c>
      <c r="K76" s="79"/>
      <c r="L76" s="115"/>
      <c r="M76" s="115"/>
      <c r="N76" s="115"/>
      <c r="O76" s="115"/>
    </row>
    <row r="77" spans="1:15" ht="18.75" customHeight="1" thickBot="1" x14ac:dyDescent="0.25">
      <c r="A77" s="238"/>
      <c r="B77" s="210"/>
      <c r="C77" s="80"/>
      <c r="D77" s="81" t="s">
        <v>7</v>
      </c>
      <c r="E77" s="82"/>
      <c r="F77" s="83">
        <v>7</v>
      </c>
      <c r="G77" s="213"/>
      <c r="H77" s="84"/>
      <c r="I77" s="85" t="s">
        <v>10</v>
      </c>
      <c r="J77" s="83">
        <v>7</v>
      </c>
      <c r="K77" s="86"/>
      <c r="L77" s="115"/>
      <c r="M77" s="115"/>
      <c r="N77" s="115"/>
      <c r="O77" s="115"/>
    </row>
    <row r="78" spans="1:15" ht="18" customHeight="1" x14ac:dyDescent="0.2">
      <c r="A78" s="237">
        <v>45309</v>
      </c>
      <c r="B78" s="214" t="s">
        <v>16</v>
      </c>
      <c r="C78" s="87"/>
      <c r="D78" s="87" t="s">
        <v>7</v>
      </c>
      <c r="E78" s="88"/>
      <c r="F78" s="89">
        <v>7</v>
      </c>
      <c r="G78" s="217" t="s">
        <v>16</v>
      </c>
      <c r="H78" s="90"/>
      <c r="I78" s="90" t="s">
        <v>10</v>
      </c>
      <c r="J78" s="89">
        <v>0</v>
      </c>
      <c r="K78" s="91"/>
      <c r="L78" s="115"/>
      <c r="M78" s="115"/>
      <c r="N78" s="115"/>
      <c r="O78" s="115"/>
    </row>
    <row r="79" spans="1:15" ht="18" customHeight="1" x14ac:dyDescent="0.2">
      <c r="A79" s="238"/>
      <c r="B79" s="215"/>
      <c r="C79" s="92"/>
      <c r="D79" s="93" t="s">
        <v>7</v>
      </c>
      <c r="E79" s="94"/>
      <c r="F79" s="95">
        <v>7</v>
      </c>
      <c r="G79" s="218"/>
      <c r="H79" s="96"/>
      <c r="I79" s="97" t="s">
        <v>10</v>
      </c>
      <c r="J79" s="95">
        <v>7</v>
      </c>
      <c r="K79" s="98"/>
      <c r="L79" s="115"/>
      <c r="M79" s="115"/>
      <c r="N79" s="115"/>
      <c r="O79" s="115"/>
    </row>
    <row r="80" spans="1:15" ht="18" customHeight="1" x14ac:dyDescent="0.2">
      <c r="A80" s="238"/>
      <c r="B80" s="215"/>
      <c r="C80" s="92"/>
      <c r="D80" s="93" t="s">
        <v>7</v>
      </c>
      <c r="E80" s="94"/>
      <c r="F80" s="95">
        <v>7</v>
      </c>
      <c r="G80" s="218"/>
      <c r="H80" s="96"/>
      <c r="I80" s="97" t="s">
        <v>10</v>
      </c>
      <c r="J80" s="95">
        <v>7</v>
      </c>
      <c r="K80" s="98"/>
      <c r="L80" s="115"/>
      <c r="M80" s="115"/>
      <c r="N80" s="115"/>
      <c r="O80" s="115"/>
    </row>
    <row r="81" spans="1:15" ht="18.75" customHeight="1" thickBot="1" x14ac:dyDescent="0.25">
      <c r="A81" s="238"/>
      <c r="B81" s="216"/>
      <c r="C81" s="99"/>
      <c r="D81" s="100" t="s">
        <v>7</v>
      </c>
      <c r="E81" s="101"/>
      <c r="F81" s="102">
        <v>7</v>
      </c>
      <c r="G81" s="219"/>
      <c r="H81" s="103"/>
      <c r="I81" s="104" t="s">
        <v>10</v>
      </c>
      <c r="J81" s="102">
        <v>7</v>
      </c>
      <c r="K81" s="105"/>
      <c r="L81" s="115"/>
      <c r="M81" s="115"/>
      <c r="N81" s="115"/>
      <c r="O81" s="115"/>
    </row>
    <row r="82" spans="1:15" ht="23.25" x14ac:dyDescent="0.35">
      <c r="A82" s="118"/>
      <c r="B82" s="106"/>
      <c r="C82" s="107"/>
      <c r="D82" s="194" t="s">
        <v>20</v>
      </c>
      <c r="E82" s="195"/>
      <c r="F82" s="108">
        <f>SUM(F58:F81)</f>
        <v>168</v>
      </c>
      <c r="G82" s="107"/>
      <c r="H82" s="185" t="s">
        <v>20</v>
      </c>
      <c r="I82" s="186"/>
      <c r="J82" s="108">
        <f>SUM(J58:J81)</f>
        <v>161</v>
      </c>
      <c r="K82" s="109"/>
      <c r="L82" s="115"/>
      <c r="M82" s="115"/>
      <c r="N82" s="115"/>
      <c r="O82" s="115"/>
    </row>
    <row r="83" spans="1:15" ht="24" thickBot="1" x14ac:dyDescent="0.4">
      <c r="A83" s="119"/>
      <c r="B83" s="110"/>
      <c r="C83" s="111"/>
      <c r="D83" s="187" t="s">
        <v>21</v>
      </c>
      <c r="E83" s="188"/>
      <c r="F83" s="112">
        <f>F82/240*1</f>
        <v>0.7</v>
      </c>
      <c r="G83" s="111"/>
      <c r="H83" s="189" t="s">
        <v>22</v>
      </c>
      <c r="I83" s="190"/>
      <c r="J83" s="113">
        <f>J82/240*1</f>
        <v>0.67083333333333328</v>
      </c>
      <c r="K83" s="114"/>
      <c r="L83" s="115"/>
      <c r="M83" s="115"/>
      <c r="N83" s="115"/>
      <c r="O83" s="115"/>
    </row>
    <row r="84" spans="1:15" ht="24" thickBot="1" x14ac:dyDescent="0.4">
      <c r="A84" s="120">
        <v>4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</row>
    <row r="85" spans="1:15" ht="21" thickBot="1" x14ac:dyDescent="0.35">
      <c r="A85" s="244" t="s">
        <v>25</v>
      </c>
      <c r="B85" s="191" t="s">
        <v>0</v>
      </c>
      <c r="C85" s="192"/>
      <c r="D85" s="192"/>
      <c r="E85" s="192"/>
      <c r="F85" s="192"/>
      <c r="G85" s="192"/>
      <c r="H85" s="192"/>
      <c r="I85" s="192"/>
      <c r="J85" s="192"/>
      <c r="K85" s="193"/>
      <c r="L85" s="115"/>
      <c r="M85" s="115"/>
      <c r="N85" s="115"/>
      <c r="O85" s="115"/>
    </row>
    <row r="86" spans="1:15" ht="21" thickBot="1" x14ac:dyDescent="0.35">
      <c r="A86" s="245"/>
      <c r="B86" s="196" t="s">
        <v>17</v>
      </c>
      <c r="C86" s="197"/>
      <c r="D86" s="197"/>
      <c r="E86" s="197"/>
      <c r="F86" s="198"/>
      <c r="G86" s="199" t="s">
        <v>1</v>
      </c>
      <c r="H86" s="200"/>
      <c r="I86" s="200"/>
      <c r="J86" s="200"/>
      <c r="K86" s="201"/>
      <c r="L86" s="115"/>
      <c r="M86" s="115"/>
      <c r="N86" s="115"/>
      <c r="O86" s="115"/>
    </row>
    <row r="87" spans="1:15" ht="41.25" thickBot="1" x14ac:dyDescent="0.25">
      <c r="A87" s="246"/>
      <c r="B87" s="2" t="s">
        <v>2</v>
      </c>
      <c r="C87" s="3" t="s">
        <v>6</v>
      </c>
      <c r="D87" s="3" t="s">
        <v>7</v>
      </c>
      <c r="E87" s="3" t="s">
        <v>8</v>
      </c>
      <c r="F87" s="4" t="s">
        <v>19</v>
      </c>
      <c r="G87" s="5" t="s">
        <v>2</v>
      </c>
      <c r="H87" s="6" t="s">
        <v>3</v>
      </c>
      <c r="I87" s="6" t="s">
        <v>4</v>
      </c>
      <c r="J87" s="7" t="s">
        <v>18</v>
      </c>
      <c r="K87" s="8" t="s">
        <v>5</v>
      </c>
      <c r="L87" s="115"/>
      <c r="M87" s="115"/>
      <c r="N87" s="115"/>
      <c r="O87" s="115"/>
    </row>
    <row r="88" spans="1:15" ht="18" x14ac:dyDescent="0.2">
      <c r="A88" s="237">
        <v>45311</v>
      </c>
      <c r="B88" s="220" t="s">
        <v>9</v>
      </c>
      <c r="C88" s="9"/>
      <c r="D88" s="9" t="s">
        <v>7</v>
      </c>
      <c r="E88" s="10"/>
      <c r="F88" s="11">
        <v>7</v>
      </c>
      <c r="G88" s="223" t="s">
        <v>9</v>
      </c>
      <c r="H88" s="12"/>
      <c r="I88" s="12" t="s">
        <v>10</v>
      </c>
      <c r="J88" s="11">
        <v>7</v>
      </c>
      <c r="K88" s="13"/>
      <c r="L88" s="115"/>
      <c r="M88" s="115"/>
      <c r="N88" s="115"/>
      <c r="O88" s="115"/>
    </row>
    <row r="89" spans="1:15" ht="18" x14ac:dyDescent="0.2">
      <c r="A89" s="238"/>
      <c r="B89" s="221"/>
      <c r="C89" s="14"/>
      <c r="D89" s="9" t="s">
        <v>7</v>
      </c>
      <c r="E89" s="10"/>
      <c r="F89" s="11">
        <v>7</v>
      </c>
      <c r="G89" s="224"/>
      <c r="H89" s="15"/>
      <c r="I89" s="16" t="s">
        <v>10</v>
      </c>
      <c r="J89" s="11">
        <v>7</v>
      </c>
      <c r="K89" s="17"/>
      <c r="L89" s="115"/>
      <c r="M89" s="115"/>
      <c r="N89" s="115"/>
      <c r="O89" s="115"/>
    </row>
    <row r="90" spans="1:15" ht="18" x14ac:dyDescent="0.2">
      <c r="A90" s="238"/>
      <c r="B90" s="221"/>
      <c r="C90" s="14"/>
      <c r="D90" s="9" t="s">
        <v>7</v>
      </c>
      <c r="E90" s="10"/>
      <c r="F90" s="11">
        <v>7</v>
      </c>
      <c r="G90" s="224"/>
      <c r="H90" s="15"/>
      <c r="I90" s="16" t="s">
        <v>10</v>
      </c>
      <c r="J90" s="11">
        <v>7</v>
      </c>
      <c r="K90" s="17"/>
      <c r="L90" s="115"/>
      <c r="M90" s="115"/>
      <c r="N90" s="115"/>
      <c r="O90" s="115"/>
    </row>
    <row r="91" spans="1:15" ht="18.75" thickBot="1" x14ac:dyDescent="0.25">
      <c r="A91" s="238"/>
      <c r="B91" s="222"/>
      <c r="C91" s="18"/>
      <c r="D91" s="19" t="s">
        <v>7</v>
      </c>
      <c r="E91" s="20"/>
      <c r="F91" s="21">
        <v>7</v>
      </c>
      <c r="G91" s="225"/>
      <c r="H91" s="22"/>
      <c r="I91" s="23" t="s">
        <v>10</v>
      </c>
      <c r="J91" s="21">
        <v>7</v>
      </c>
      <c r="K91" s="24"/>
      <c r="L91" s="115"/>
      <c r="M91" s="115"/>
      <c r="N91" s="115"/>
      <c r="O91" s="115"/>
    </row>
    <row r="92" spans="1:15" ht="18" customHeight="1" x14ac:dyDescent="0.2">
      <c r="A92" s="237">
        <v>45312</v>
      </c>
      <c r="B92" s="226" t="s">
        <v>12</v>
      </c>
      <c r="C92" s="25"/>
      <c r="D92" s="25" t="s">
        <v>7</v>
      </c>
      <c r="E92" s="26"/>
      <c r="F92" s="27">
        <v>7</v>
      </c>
      <c r="G92" s="229" t="s">
        <v>12</v>
      </c>
      <c r="H92" s="28"/>
      <c r="I92" s="28" t="s">
        <v>10</v>
      </c>
      <c r="J92" s="27">
        <v>7</v>
      </c>
      <c r="K92" s="29"/>
      <c r="L92" s="115"/>
      <c r="M92" s="115"/>
      <c r="N92" s="115"/>
      <c r="O92" s="115"/>
    </row>
    <row r="93" spans="1:15" ht="18" customHeight="1" x14ac:dyDescent="0.2">
      <c r="A93" s="238"/>
      <c r="B93" s="227"/>
      <c r="C93" s="30"/>
      <c r="D93" s="31" t="s">
        <v>7</v>
      </c>
      <c r="E93" s="32"/>
      <c r="F93" s="33">
        <v>7</v>
      </c>
      <c r="G93" s="230"/>
      <c r="H93" s="34"/>
      <c r="I93" s="35" t="s">
        <v>10</v>
      </c>
      <c r="J93" s="33">
        <v>7</v>
      </c>
      <c r="K93" s="36"/>
      <c r="L93" s="115"/>
      <c r="M93" s="115"/>
      <c r="N93" s="115"/>
      <c r="O93" s="115"/>
    </row>
    <row r="94" spans="1:15" ht="18" customHeight="1" x14ac:dyDescent="0.2">
      <c r="A94" s="238"/>
      <c r="B94" s="227"/>
      <c r="C94" s="30"/>
      <c r="D94" s="31" t="s">
        <v>7</v>
      </c>
      <c r="E94" s="32"/>
      <c r="F94" s="33">
        <v>7</v>
      </c>
      <c r="G94" s="230"/>
      <c r="H94" s="34"/>
      <c r="I94" s="35" t="s">
        <v>10</v>
      </c>
      <c r="J94" s="33">
        <v>7</v>
      </c>
      <c r="K94" s="36"/>
      <c r="L94" s="115"/>
      <c r="M94" s="115"/>
      <c r="N94" s="115"/>
      <c r="O94" s="115"/>
    </row>
    <row r="95" spans="1:15" ht="18.75" customHeight="1" thickBot="1" x14ac:dyDescent="0.25">
      <c r="A95" s="238"/>
      <c r="B95" s="228"/>
      <c r="C95" s="37"/>
      <c r="D95" s="38" t="s">
        <v>7</v>
      </c>
      <c r="E95" s="39"/>
      <c r="F95" s="40">
        <v>7</v>
      </c>
      <c r="G95" s="231"/>
      <c r="H95" s="41"/>
      <c r="I95" s="42" t="s">
        <v>10</v>
      </c>
      <c r="J95" s="40">
        <v>7</v>
      </c>
      <c r="K95" s="43"/>
      <c r="L95" s="115"/>
      <c r="M95" s="115"/>
      <c r="N95" s="115"/>
      <c r="O95" s="115"/>
    </row>
    <row r="96" spans="1:15" ht="18" customHeight="1" x14ac:dyDescent="0.2">
      <c r="A96" s="237">
        <v>45313</v>
      </c>
      <c r="B96" s="232" t="s">
        <v>13</v>
      </c>
      <c r="C96" s="44"/>
      <c r="D96" s="44" t="s">
        <v>7</v>
      </c>
      <c r="E96" s="45"/>
      <c r="F96" s="46">
        <v>7</v>
      </c>
      <c r="G96" s="185" t="s">
        <v>13</v>
      </c>
      <c r="H96" s="47"/>
      <c r="I96" s="47" t="s">
        <v>10</v>
      </c>
      <c r="J96" s="46">
        <v>7</v>
      </c>
      <c r="K96" s="48"/>
      <c r="L96" s="115"/>
      <c r="M96" s="115"/>
      <c r="N96" s="115"/>
      <c r="O96" s="115"/>
    </row>
    <row r="97" spans="1:15" ht="18" customHeight="1" x14ac:dyDescent="0.2">
      <c r="A97" s="238"/>
      <c r="B97" s="233"/>
      <c r="C97" s="49"/>
      <c r="D97" s="44" t="s">
        <v>7</v>
      </c>
      <c r="E97" s="45"/>
      <c r="F97" s="46">
        <v>7</v>
      </c>
      <c r="G97" s="235"/>
      <c r="H97" s="50"/>
      <c r="I97" s="51" t="s">
        <v>10</v>
      </c>
      <c r="J97" s="46">
        <v>7</v>
      </c>
      <c r="K97" s="52"/>
      <c r="L97" s="115"/>
      <c r="M97" s="115"/>
      <c r="N97" s="115"/>
      <c r="O97" s="115"/>
    </row>
    <row r="98" spans="1:15" ht="18" customHeight="1" x14ac:dyDescent="0.2">
      <c r="A98" s="238"/>
      <c r="B98" s="233"/>
      <c r="C98" s="49"/>
      <c r="D98" s="44" t="s">
        <v>7</v>
      </c>
      <c r="E98" s="45"/>
      <c r="F98" s="46">
        <v>7</v>
      </c>
      <c r="G98" s="235"/>
      <c r="H98" s="50"/>
      <c r="I98" s="51" t="s">
        <v>10</v>
      </c>
      <c r="J98" s="46">
        <v>7</v>
      </c>
      <c r="K98" s="52"/>
      <c r="L98" s="115"/>
      <c r="M98" s="115"/>
      <c r="N98" s="115"/>
      <c r="O98" s="115"/>
    </row>
    <row r="99" spans="1:15" ht="18.75" customHeight="1" thickBot="1" x14ac:dyDescent="0.25">
      <c r="A99" s="238"/>
      <c r="B99" s="234"/>
      <c r="C99" s="53"/>
      <c r="D99" s="54" t="s">
        <v>7</v>
      </c>
      <c r="E99" s="55"/>
      <c r="F99" s="56">
        <v>7</v>
      </c>
      <c r="G99" s="236"/>
      <c r="H99" s="57"/>
      <c r="I99" s="58" t="s">
        <v>10</v>
      </c>
      <c r="J99" s="56">
        <v>7</v>
      </c>
      <c r="K99" s="59"/>
      <c r="L99" s="115"/>
      <c r="M99" s="115"/>
      <c r="N99" s="115"/>
      <c r="O99" s="115"/>
    </row>
    <row r="100" spans="1:15" ht="18" customHeight="1" x14ac:dyDescent="0.2">
      <c r="A100" s="237">
        <v>45314</v>
      </c>
      <c r="B100" s="202" t="s">
        <v>14</v>
      </c>
      <c r="C100" s="60"/>
      <c r="D100" s="60" t="s">
        <v>7</v>
      </c>
      <c r="E100" s="61"/>
      <c r="F100" s="62">
        <v>7</v>
      </c>
      <c r="G100" s="205" t="s">
        <v>14</v>
      </c>
      <c r="H100" s="44"/>
      <c r="I100" s="44" t="s">
        <v>10</v>
      </c>
      <c r="J100" s="62">
        <v>7</v>
      </c>
      <c r="K100" s="45"/>
      <c r="L100" s="115"/>
      <c r="M100" s="115"/>
      <c r="N100" s="115"/>
      <c r="O100" s="115"/>
    </row>
    <row r="101" spans="1:15" ht="18" customHeight="1" x14ac:dyDescent="0.2">
      <c r="A101" s="238"/>
      <c r="B101" s="203"/>
      <c r="C101" s="63"/>
      <c r="D101" s="64" t="s">
        <v>7</v>
      </c>
      <c r="E101" s="65"/>
      <c r="F101" s="66">
        <v>7</v>
      </c>
      <c r="G101" s="206"/>
      <c r="H101" s="49"/>
      <c r="I101" s="44" t="s">
        <v>10</v>
      </c>
      <c r="J101" s="66">
        <v>7</v>
      </c>
      <c r="K101" s="67"/>
      <c r="L101" s="115"/>
      <c r="M101" s="115"/>
      <c r="N101" s="115"/>
      <c r="O101" s="115"/>
    </row>
    <row r="102" spans="1:15" ht="18" customHeight="1" x14ac:dyDescent="0.2">
      <c r="A102" s="238"/>
      <c r="B102" s="203"/>
      <c r="C102" s="63"/>
      <c r="D102" s="64" t="s">
        <v>7</v>
      </c>
      <c r="E102" s="65"/>
      <c r="F102" s="66">
        <v>7</v>
      </c>
      <c r="G102" s="206"/>
      <c r="H102" s="49"/>
      <c r="I102" s="44" t="s">
        <v>10</v>
      </c>
      <c r="J102" s="66">
        <v>7</v>
      </c>
      <c r="K102" s="67"/>
      <c r="L102" s="115"/>
      <c r="M102" s="115"/>
      <c r="N102" s="115"/>
      <c r="O102" s="115"/>
    </row>
    <row r="103" spans="1:15" ht="18.75" customHeight="1" thickBot="1" x14ac:dyDescent="0.25">
      <c r="A103" s="238"/>
      <c r="B103" s="204"/>
      <c r="C103" s="68"/>
      <c r="D103" s="69" t="s">
        <v>7</v>
      </c>
      <c r="E103" s="70"/>
      <c r="F103" s="71">
        <v>7</v>
      </c>
      <c r="G103" s="207"/>
      <c r="H103" s="53"/>
      <c r="I103" s="54" t="s">
        <v>10</v>
      </c>
      <c r="J103" s="71">
        <v>7</v>
      </c>
      <c r="K103" s="72"/>
      <c r="L103" s="115"/>
      <c r="M103" s="115"/>
      <c r="N103" s="115"/>
      <c r="O103" s="115"/>
    </row>
    <row r="104" spans="1:15" ht="18" customHeight="1" x14ac:dyDescent="0.2">
      <c r="A104" s="237">
        <v>45315</v>
      </c>
      <c r="B104" s="208" t="s">
        <v>15</v>
      </c>
      <c r="C104" s="16"/>
      <c r="D104" s="16" t="s">
        <v>7</v>
      </c>
      <c r="E104" s="73"/>
      <c r="F104" s="74">
        <v>7</v>
      </c>
      <c r="G104" s="211" t="s">
        <v>15</v>
      </c>
      <c r="H104" s="75"/>
      <c r="I104" s="75" t="s">
        <v>10</v>
      </c>
      <c r="J104" s="74">
        <v>7</v>
      </c>
      <c r="K104" s="76"/>
      <c r="L104" s="115"/>
      <c r="M104" s="115"/>
      <c r="N104" s="115"/>
      <c r="O104" s="115"/>
    </row>
    <row r="105" spans="1:15" ht="18" customHeight="1" x14ac:dyDescent="0.2">
      <c r="A105" s="238"/>
      <c r="B105" s="209"/>
      <c r="C105" s="15"/>
      <c r="D105" s="16" t="s">
        <v>7</v>
      </c>
      <c r="E105" s="73"/>
      <c r="F105" s="74">
        <v>7</v>
      </c>
      <c r="G105" s="212"/>
      <c r="H105" s="77"/>
      <c r="I105" s="78" t="s">
        <v>10</v>
      </c>
      <c r="J105" s="74">
        <v>7</v>
      </c>
      <c r="K105" s="79"/>
      <c r="L105" s="115"/>
      <c r="M105" s="115"/>
      <c r="N105" s="115"/>
      <c r="O105" s="115"/>
    </row>
    <row r="106" spans="1:15" ht="18" customHeight="1" x14ac:dyDescent="0.2">
      <c r="A106" s="238"/>
      <c r="B106" s="209"/>
      <c r="C106" s="15"/>
      <c r="D106" s="16" t="s">
        <v>7</v>
      </c>
      <c r="E106" s="73"/>
      <c r="F106" s="74">
        <v>7</v>
      </c>
      <c r="G106" s="212"/>
      <c r="H106" s="77"/>
      <c r="I106" s="78" t="s">
        <v>10</v>
      </c>
      <c r="J106" s="74">
        <v>7</v>
      </c>
      <c r="K106" s="79"/>
      <c r="L106" s="115"/>
      <c r="M106" s="115"/>
      <c r="N106" s="115"/>
      <c r="O106" s="115"/>
    </row>
    <row r="107" spans="1:15" ht="18.75" customHeight="1" thickBot="1" x14ac:dyDescent="0.25">
      <c r="A107" s="238"/>
      <c r="B107" s="210"/>
      <c r="C107" s="80"/>
      <c r="D107" s="81" t="s">
        <v>7</v>
      </c>
      <c r="E107" s="82"/>
      <c r="F107" s="83">
        <v>7</v>
      </c>
      <c r="G107" s="213"/>
      <c r="H107" s="84"/>
      <c r="I107" s="85" t="s">
        <v>10</v>
      </c>
      <c r="J107" s="83">
        <v>7</v>
      </c>
      <c r="K107" s="86"/>
      <c r="L107" s="115"/>
      <c r="M107" s="115"/>
      <c r="N107" s="115"/>
      <c r="O107" s="115"/>
    </row>
    <row r="108" spans="1:15" ht="18" customHeight="1" x14ac:dyDescent="0.2">
      <c r="A108" s="237">
        <v>45316</v>
      </c>
      <c r="B108" s="214" t="s">
        <v>16</v>
      </c>
      <c r="C108" s="87"/>
      <c r="D108" s="87" t="s">
        <v>7</v>
      </c>
      <c r="E108" s="88"/>
      <c r="F108" s="89">
        <v>7</v>
      </c>
      <c r="G108" s="217" t="s">
        <v>16</v>
      </c>
      <c r="H108" s="90"/>
      <c r="I108" s="90" t="s">
        <v>10</v>
      </c>
      <c r="J108" s="89">
        <v>0</v>
      </c>
      <c r="K108" s="91"/>
      <c r="L108" s="115"/>
      <c r="M108" s="115"/>
      <c r="N108" s="115"/>
      <c r="O108" s="115"/>
    </row>
    <row r="109" spans="1:15" ht="18" customHeight="1" x14ac:dyDescent="0.2">
      <c r="A109" s="238"/>
      <c r="B109" s="215"/>
      <c r="C109" s="92"/>
      <c r="D109" s="93" t="s">
        <v>7</v>
      </c>
      <c r="E109" s="94"/>
      <c r="F109" s="95">
        <v>7</v>
      </c>
      <c r="G109" s="218"/>
      <c r="H109" s="96"/>
      <c r="I109" s="97" t="s">
        <v>10</v>
      </c>
      <c r="J109" s="95">
        <v>7</v>
      </c>
      <c r="K109" s="98"/>
      <c r="L109" s="115"/>
      <c r="M109" s="115"/>
      <c r="N109" s="115"/>
      <c r="O109" s="115"/>
    </row>
    <row r="110" spans="1:15" ht="18" customHeight="1" x14ac:dyDescent="0.2">
      <c r="A110" s="238"/>
      <c r="B110" s="215"/>
      <c r="C110" s="92"/>
      <c r="D110" s="93" t="s">
        <v>7</v>
      </c>
      <c r="E110" s="94"/>
      <c r="F110" s="95">
        <v>7</v>
      </c>
      <c r="G110" s="218"/>
      <c r="H110" s="96"/>
      <c r="I110" s="97" t="s">
        <v>10</v>
      </c>
      <c r="J110" s="95">
        <v>7</v>
      </c>
      <c r="K110" s="98"/>
      <c r="L110" s="115"/>
      <c r="M110" s="115"/>
      <c r="N110" s="115"/>
      <c r="O110" s="115"/>
    </row>
    <row r="111" spans="1:15" ht="18.75" customHeight="1" thickBot="1" x14ac:dyDescent="0.25">
      <c r="A111" s="238"/>
      <c r="B111" s="216"/>
      <c r="C111" s="99"/>
      <c r="D111" s="100" t="s">
        <v>7</v>
      </c>
      <c r="E111" s="101"/>
      <c r="F111" s="102">
        <v>7</v>
      </c>
      <c r="G111" s="219"/>
      <c r="H111" s="103"/>
      <c r="I111" s="104" t="s">
        <v>10</v>
      </c>
      <c r="J111" s="102">
        <v>7</v>
      </c>
      <c r="K111" s="105"/>
      <c r="L111" s="115"/>
      <c r="M111" s="115"/>
      <c r="N111" s="115"/>
      <c r="O111" s="115"/>
    </row>
    <row r="112" spans="1:15" ht="23.25" x14ac:dyDescent="0.35">
      <c r="A112" s="118"/>
      <c r="B112" s="106"/>
      <c r="C112" s="107"/>
      <c r="D112" s="194" t="s">
        <v>20</v>
      </c>
      <c r="E112" s="195"/>
      <c r="F112" s="108">
        <f>SUM(F88:F111)</f>
        <v>168</v>
      </c>
      <c r="G112" s="107"/>
      <c r="H112" s="185" t="s">
        <v>20</v>
      </c>
      <c r="I112" s="186"/>
      <c r="J112" s="108">
        <f>SUM(J88:J111)</f>
        <v>161</v>
      </c>
      <c r="K112" s="109"/>
      <c r="L112" s="115"/>
      <c r="M112" s="115"/>
      <c r="N112" s="115"/>
      <c r="O112" s="115"/>
    </row>
    <row r="113" spans="1:15" ht="24" thickBot="1" x14ac:dyDescent="0.4">
      <c r="A113" s="119"/>
      <c r="B113" s="110"/>
      <c r="C113" s="111"/>
      <c r="D113" s="187" t="s">
        <v>21</v>
      </c>
      <c r="E113" s="188"/>
      <c r="F113" s="112">
        <f>F112/240*1</f>
        <v>0.7</v>
      </c>
      <c r="G113" s="111"/>
      <c r="H113" s="189" t="s">
        <v>22</v>
      </c>
      <c r="I113" s="190"/>
      <c r="J113" s="113">
        <f>J112/240*1</f>
        <v>0.67083333333333328</v>
      </c>
      <c r="K113" s="114"/>
      <c r="L113" s="115"/>
      <c r="M113" s="115"/>
      <c r="N113" s="115"/>
      <c r="O113" s="115"/>
    </row>
    <row r="114" spans="1:15" ht="24" thickBot="1" x14ac:dyDescent="0.4">
      <c r="A114" s="120">
        <v>5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</row>
    <row r="115" spans="1:15" ht="21" thickBot="1" x14ac:dyDescent="0.35">
      <c r="A115" s="244" t="s">
        <v>25</v>
      </c>
      <c r="B115" s="191" t="s">
        <v>0</v>
      </c>
      <c r="C115" s="192"/>
      <c r="D115" s="192"/>
      <c r="E115" s="192"/>
      <c r="F115" s="192"/>
      <c r="G115" s="192"/>
      <c r="H115" s="192"/>
      <c r="I115" s="192"/>
      <c r="J115" s="192"/>
      <c r="K115" s="193"/>
      <c r="L115" s="115"/>
      <c r="M115" s="115"/>
      <c r="N115" s="115"/>
      <c r="O115" s="115"/>
    </row>
    <row r="116" spans="1:15" ht="21" thickBot="1" x14ac:dyDescent="0.35">
      <c r="A116" s="245"/>
      <c r="B116" s="196" t="s">
        <v>17</v>
      </c>
      <c r="C116" s="197"/>
      <c r="D116" s="197"/>
      <c r="E116" s="197"/>
      <c r="F116" s="198"/>
      <c r="G116" s="199" t="s">
        <v>1</v>
      </c>
      <c r="H116" s="200"/>
      <c r="I116" s="200"/>
      <c r="J116" s="200"/>
      <c r="K116" s="201"/>
      <c r="L116" s="115"/>
      <c r="M116" s="115"/>
      <c r="N116" s="115"/>
      <c r="O116" s="115"/>
    </row>
    <row r="117" spans="1:15" ht="41.25" thickBot="1" x14ac:dyDescent="0.25">
      <c r="A117" s="246"/>
      <c r="B117" s="2" t="s">
        <v>2</v>
      </c>
      <c r="C117" s="3" t="s">
        <v>6</v>
      </c>
      <c r="D117" s="3" t="s">
        <v>7</v>
      </c>
      <c r="E117" s="3" t="s">
        <v>8</v>
      </c>
      <c r="F117" s="4" t="s">
        <v>19</v>
      </c>
      <c r="G117" s="5" t="s">
        <v>2</v>
      </c>
      <c r="H117" s="6" t="s">
        <v>3</v>
      </c>
      <c r="I117" s="6" t="s">
        <v>4</v>
      </c>
      <c r="J117" s="7" t="s">
        <v>18</v>
      </c>
      <c r="K117" s="8" t="s">
        <v>5</v>
      </c>
      <c r="L117" s="115"/>
      <c r="M117" s="115"/>
      <c r="N117" s="115"/>
      <c r="O117" s="115"/>
    </row>
    <row r="118" spans="1:15" ht="18" x14ac:dyDescent="0.2">
      <c r="A118" s="237">
        <v>45318</v>
      </c>
      <c r="B118" s="220" t="s">
        <v>9</v>
      </c>
      <c r="C118" s="9"/>
      <c r="D118" s="9" t="s">
        <v>7</v>
      </c>
      <c r="E118" s="10"/>
      <c r="F118" s="11">
        <v>7</v>
      </c>
      <c r="G118" s="223" t="s">
        <v>9</v>
      </c>
      <c r="H118" s="12"/>
      <c r="I118" s="12" t="s">
        <v>10</v>
      </c>
      <c r="J118" s="11">
        <v>7</v>
      </c>
      <c r="K118" s="13"/>
      <c r="L118" s="115"/>
      <c r="M118" s="115"/>
      <c r="N118" s="115"/>
      <c r="O118" s="115"/>
    </row>
    <row r="119" spans="1:15" ht="18" x14ac:dyDescent="0.2">
      <c r="A119" s="238"/>
      <c r="B119" s="221"/>
      <c r="C119" s="14"/>
      <c r="D119" s="9" t="s">
        <v>7</v>
      </c>
      <c r="E119" s="10"/>
      <c r="F119" s="11">
        <v>7</v>
      </c>
      <c r="G119" s="224"/>
      <c r="H119" s="15"/>
      <c r="I119" s="16" t="s">
        <v>10</v>
      </c>
      <c r="J119" s="11">
        <v>7</v>
      </c>
      <c r="K119" s="17"/>
      <c r="L119" s="115"/>
      <c r="M119" s="115"/>
      <c r="N119" s="115"/>
      <c r="O119" s="115"/>
    </row>
    <row r="120" spans="1:15" ht="18" x14ac:dyDescent="0.2">
      <c r="A120" s="238"/>
      <c r="B120" s="221"/>
      <c r="C120" s="14"/>
      <c r="D120" s="9" t="s">
        <v>7</v>
      </c>
      <c r="E120" s="10"/>
      <c r="F120" s="11">
        <v>7</v>
      </c>
      <c r="G120" s="224"/>
      <c r="H120" s="15"/>
      <c r="I120" s="16" t="s">
        <v>10</v>
      </c>
      <c r="J120" s="11">
        <v>7</v>
      </c>
      <c r="K120" s="17"/>
      <c r="L120" s="115"/>
      <c r="M120" s="115"/>
      <c r="N120" s="115"/>
      <c r="O120" s="115"/>
    </row>
    <row r="121" spans="1:15" ht="18.75" thickBot="1" x14ac:dyDescent="0.25">
      <c r="A121" s="238"/>
      <c r="B121" s="222"/>
      <c r="C121" s="18"/>
      <c r="D121" s="19" t="s">
        <v>7</v>
      </c>
      <c r="E121" s="20"/>
      <c r="F121" s="21">
        <v>7</v>
      </c>
      <c r="G121" s="225"/>
      <c r="H121" s="22"/>
      <c r="I121" s="23" t="s">
        <v>10</v>
      </c>
      <c r="J121" s="21">
        <v>7</v>
      </c>
      <c r="K121" s="24"/>
      <c r="L121" s="115"/>
      <c r="M121" s="115"/>
      <c r="N121" s="115"/>
      <c r="O121" s="115"/>
    </row>
    <row r="122" spans="1:15" ht="18" customHeight="1" x14ac:dyDescent="0.2">
      <c r="A122" s="237">
        <v>45319</v>
      </c>
      <c r="B122" s="226" t="s">
        <v>12</v>
      </c>
      <c r="C122" s="25"/>
      <c r="D122" s="25" t="s">
        <v>7</v>
      </c>
      <c r="E122" s="26"/>
      <c r="F122" s="27">
        <v>7</v>
      </c>
      <c r="G122" s="229" t="s">
        <v>12</v>
      </c>
      <c r="H122" s="28"/>
      <c r="I122" s="28" t="s">
        <v>10</v>
      </c>
      <c r="J122" s="27">
        <v>7</v>
      </c>
      <c r="K122" s="29"/>
      <c r="L122" s="115"/>
      <c r="M122" s="115"/>
      <c r="N122" s="115"/>
      <c r="O122" s="115"/>
    </row>
    <row r="123" spans="1:15" ht="18" customHeight="1" x14ac:dyDescent="0.2">
      <c r="A123" s="238"/>
      <c r="B123" s="227"/>
      <c r="C123" s="30"/>
      <c r="D123" s="31" t="s">
        <v>7</v>
      </c>
      <c r="E123" s="32"/>
      <c r="F123" s="33">
        <v>7</v>
      </c>
      <c r="G123" s="230"/>
      <c r="H123" s="34"/>
      <c r="I123" s="35" t="s">
        <v>10</v>
      </c>
      <c r="J123" s="33">
        <v>7</v>
      </c>
      <c r="K123" s="36"/>
      <c r="L123" s="115"/>
      <c r="M123" s="115"/>
      <c r="N123" s="115"/>
      <c r="O123" s="115"/>
    </row>
    <row r="124" spans="1:15" ht="18" customHeight="1" x14ac:dyDescent="0.2">
      <c r="A124" s="238"/>
      <c r="B124" s="227"/>
      <c r="C124" s="30"/>
      <c r="D124" s="31" t="s">
        <v>7</v>
      </c>
      <c r="E124" s="32"/>
      <c r="F124" s="33">
        <v>7</v>
      </c>
      <c r="G124" s="230"/>
      <c r="H124" s="34"/>
      <c r="I124" s="35" t="s">
        <v>10</v>
      </c>
      <c r="J124" s="33">
        <v>7</v>
      </c>
      <c r="K124" s="36"/>
      <c r="L124" s="115"/>
      <c r="M124" s="115"/>
      <c r="N124" s="115"/>
      <c r="O124" s="115"/>
    </row>
    <row r="125" spans="1:15" ht="18.75" customHeight="1" thickBot="1" x14ac:dyDescent="0.25">
      <c r="A125" s="238"/>
      <c r="B125" s="228"/>
      <c r="C125" s="37"/>
      <c r="D125" s="38" t="s">
        <v>7</v>
      </c>
      <c r="E125" s="39"/>
      <c r="F125" s="40">
        <v>7</v>
      </c>
      <c r="G125" s="231"/>
      <c r="H125" s="41"/>
      <c r="I125" s="42" t="s">
        <v>10</v>
      </c>
      <c r="J125" s="40">
        <v>7</v>
      </c>
      <c r="K125" s="43"/>
      <c r="L125" s="115"/>
      <c r="M125" s="115"/>
      <c r="N125" s="115"/>
      <c r="O125" s="115"/>
    </row>
    <row r="126" spans="1:15" ht="18" customHeight="1" x14ac:dyDescent="0.2">
      <c r="A126" s="237">
        <v>45320</v>
      </c>
      <c r="B126" s="232" t="s">
        <v>13</v>
      </c>
      <c r="C126" s="44"/>
      <c r="D126" s="44" t="s">
        <v>7</v>
      </c>
      <c r="E126" s="45"/>
      <c r="F126" s="46">
        <v>7</v>
      </c>
      <c r="G126" s="185" t="s">
        <v>13</v>
      </c>
      <c r="H126" s="47"/>
      <c r="I126" s="47" t="s">
        <v>10</v>
      </c>
      <c r="J126" s="46">
        <v>7</v>
      </c>
      <c r="K126" s="48"/>
      <c r="L126" s="115"/>
      <c r="M126" s="115"/>
      <c r="N126" s="115"/>
      <c r="O126" s="115"/>
    </row>
    <row r="127" spans="1:15" ht="18" customHeight="1" x14ac:dyDescent="0.2">
      <c r="A127" s="238"/>
      <c r="B127" s="233"/>
      <c r="C127" s="49"/>
      <c r="D127" s="44" t="s">
        <v>7</v>
      </c>
      <c r="E127" s="45"/>
      <c r="F127" s="46">
        <v>7</v>
      </c>
      <c r="G127" s="235"/>
      <c r="H127" s="50"/>
      <c r="I127" s="51" t="s">
        <v>10</v>
      </c>
      <c r="J127" s="46">
        <v>7</v>
      </c>
      <c r="K127" s="52"/>
      <c r="L127" s="115"/>
      <c r="M127" s="115"/>
      <c r="N127" s="115"/>
      <c r="O127" s="115"/>
    </row>
    <row r="128" spans="1:15" ht="18" customHeight="1" x14ac:dyDescent="0.2">
      <c r="A128" s="238"/>
      <c r="B128" s="233"/>
      <c r="C128" s="49"/>
      <c r="D128" s="44" t="s">
        <v>7</v>
      </c>
      <c r="E128" s="45"/>
      <c r="F128" s="46">
        <v>7</v>
      </c>
      <c r="G128" s="235"/>
      <c r="H128" s="50"/>
      <c r="I128" s="51" t="s">
        <v>10</v>
      </c>
      <c r="J128" s="46">
        <v>7</v>
      </c>
      <c r="K128" s="52"/>
      <c r="L128" s="115"/>
      <c r="M128" s="115"/>
      <c r="N128" s="115"/>
      <c r="O128" s="115"/>
    </row>
    <row r="129" spans="1:15" ht="18.75" customHeight="1" thickBot="1" x14ac:dyDescent="0.25">
      <c r="A129" s="238"/>
      <c r="B129" s="234"/>
      <c r="C129" s="53"/>
      <c r="D129" s="54" t="s">
        <v>7</v>
      </c>
      <c r="E129" s="55"/>
      <c r="F129" s="56">
        <v>7</v>
      </c>
      <c r="G129" s="236"/>
      <c r="H129" s="57"/>
      <c r="I129" s="58" t="s">
        <v>10</v>
      </c>
      <c r="J129" s="56">
        <v>7</v>
      </c>
      <c r="K129" s="59"/>
      <c r="L129" s="115"/>
      <c r="M129" s="115"/>
      <c r="N129" s="115"/>
      <c r="O129" s="115"/>
    </row>
    <row r="130" spans="1:15" ht="18" customHeight="1" x14ac:dyDescent="0.2">
      <c r="A130" s="237">
        <v>45321</v>
      </c>
      <c r="B130" s="202" t="s">
        <v>14</v>
      </c>
      <c r="C130" s="60"/>
      <c r="D130" s="60" t="s">
        <v>7</v>
      </c>
      <c r="E130" s="61"/>
      <c r="F130" s="62">
        <v>7</v>
      </c>
      <c r="G130" s="205" t="s">
        <v>14</v>
      </c>
      <c r="H130" s="44"/>
      <c r="I130" s="44" t="s">
        <v>10</v>
      </c>
      <c r="J130" s="62">
        <v>7</v>
      </c>
      <c r="K130" s="45"/>
      <c r="L130" s="115"/>
      <c r="M130" s="115"/>
      <c r="N130" s="115"/>
      <c r="O130" s="115"/>
    </row>
    <row r="131" spans="1:15" ht="18" customHeight="1" x14ac:dyDescent="0.2">
      <c r="A131" s="238"/>
      <c r="B131" s="203"/>
      <c r="C131" s="63"/>
      <c r="D131" s="64" t="s">
        <v>7</v>
      </c>
      <c r="E131" s="65"/>
      <c r="F131" s="66">
        <v>7</v>
      </c>
      <c r="G131" s="206"/>
      <c r="H131" s="49"/>
      <c r="I131" s="44" t="s">
        <v>10</v>
      </c>
      <c r="J131" s="66">
        <v>7</v>
      </c>
      <c r="K131" s="67"/>
      <c r="L131" s="115"/>
      <c r="M131" s="115"/>
      <c r="N131" s="115"/>
      <c r="O131" s="115"/>
    </row>
    <row r="132" spans="1:15" ht="18" customHeight="1" x14ac:dyDescent="0.2">
      <c r="A132" s="238"/>
      <c r="B132" s="203"/>
      <c r="C132" s="63"/>
      <c r="D132" s="64" t="s">
        <v>7</v>
      </c>
      <c r="E132" s="65"/>
      <c r="F132" s="66">
        <v>7</v>
      </c>
      <c r="G132" s="206"/>
      <c r="H132" s="49"/>
      <c r="I132" s="44" t="s">
        <v>10</v>
      </c>
      <c r="J132" s="66">
        <v>7</v>
      </c>
      <c r="K132" s="67"/>
      <c r="L132" s="115"/>
      <c r="M132" s="115"/>
      <c r="N132" s="115"/>
      <c r="O132" s="115"/>
    </row>
    <row r="133" spans="1:15" ht="18.75" customHeight="1" thickBot="1" x14ac:dyDescent="0.25">
      <c r="A133" s="238"/>
      <c r="B133" s="204"/>
      <c r="C133" s="68"/>
      <c r="D133" s="69" t="s">
        <v>7</v>
      </c>
      <c r="E133" s="70"/>
      <c r="F133" s="71">
        <v>7</v>
      </c>
      <c r="G133" s="207"/>
      <c r="H133" s="53"/>
      <c r="I133" s="54" t="s">
        <v>10</v>
      </c>
      <c r="J133" s="71">
        <v>7</v>
      </c>
      <c r="K133" s="72"/>
      <c r="L133" s="115"/>
      <c r="M133" s="115"/>
      <c r="N133" s="115"/>
      <c r="O133" s="115"/>
    </row>
    <row r="134" spans="1:15" ht="18" customHeight="1" x14ac:dyDescent="0.2">
      <c r="A134" s="237">
        <v>45322</v>
      </c>
      <c r="B134" s="208" t="s">
        <v>15</v>
      </c>
      <c r="C134" s="16"/>
      <c r="D134" s="16" t="s">
        <v>7</v>
      </c>
      <c r="E134" s="73"/>
      <c r="F134" s="74">
        <v>7</v>
      </c>
      <c r="G134" s="211" t="s">
        <v>15</v>
      </c>
      <c r="H134" s="75"/>
      <c r="I134" s="75" t="s">
        <v>10</v>
      </c>
      <c r="J134" s="74">
        <v>7</v>
      </c>
      <c r="K134" s="76"/>
      <c r="L134" s="115"/>
      <c r="M134" s="115"/>
      <c r="N134" s="115"/>
      <c r="O134" s="115"/>
    </row>
    <row r="135" spans="1:15" ht="18" customHeight="1" x14ac:dyDescent="0.2">
      <c r="A135" s="238"/>
      <c r="B135" s="209"/>
      <c r="C135" s="15"/>
      <c r="D135" s="16" t="s">
        <v>7</v>
      </c>
      <c r="E135" s="73"/>
      <c r="F135" s="74">
        <v>7</v>
      </c>
      <c r="G135" s="212"/>
      <c r="H135" s="77"/>
      <c r="I135" s="78" t="s">
        <v>10</v>
      </c>
      <c r="J135" s="74">
        <v>7</v>
      </c>
      <c r="K135" s="79"/>
      <c r="L135" s="115"/>
      <c r="M135" s="115"/>
      <c r="N135" s="115"/>
      <c r="O135" s="115"/>
    </row>
    <row r="136" spans="1:15" ht="18" customHeight="1" x14ac:dyDescent="0.2">
      <c r="A136" s="238"/>
      <c r="B136" s="209"/>
      <c r="C136" s="15"/>
      <c r="D136" s="16" t="s">
        <v>7</v>
      </c>
      <c r="E136" s="73"/>
      <c r="F136" s="74">
        <v>7</v>
      </c>
      <c r="G136" s="212"/>
      <c r="H136" s="77"/>
      <c r="I136" s="78" t="s">
        <v>10</v>
      </c>
      <c r="J136" s="74">
        <v>7</v>
      </c>
      <c r="K136" s="79"/>
      <c r="L136" s="115"/>
      <c r="M136" s="115"/>
      <c r="N136" s="115"/>
      <c r="O136" s="115"/>
    </row>
    <row r="137" spans="1:15" ht="18.75" customHeight="1" thickBot="1" x14ac:dyDescent="0.25">
      <c r="A137" s="238"/>
      <c r="B137" s="210"/>
      <c r="C137" s="80"/>
      <c r="D137" s="81" t="s">
        <v>7</v>
      </c>
      <c r="E137" s="82"/>
      <c r="F137" s="83">
        <v>7</v>
      </c>
      <c r="G137" s="213"/>
      <c r="H137" s="84"/>
      <c r="I137" s="85" t="s">
        <v>10</v>
      </c>
      <c r="J137" s="83">
        <v>7</v>
      </c>
      <c r="K137" s="86"/>
      <c r="L137" s="115"/>
      <c r="M137" s="115"/>
      <c r="N137" s="115"/>
      <c r="O137" s="115"/>
    </row>
    <row r="138" spans="1:15" ht="18" customHeight="1" x14ac:dyDescent="0.2">
      <c r="A138" s="237">
        <v>45323</v>
      </c>
      <c r="B138" s="214" t="s">
        <v>16</v>
      </c>
      <c r="C138" s="87"/>
      <c r="D138" s="87" t="s">
        <v>7</v>
      </c>
      <c r="E138" s="88"/>
      <c r="F138" s="89">
        <v>7</v>
      </c>
      <c r="G138" s="217" t="s">
        <v>16</v>
      </c>
      <c r="H138" s="90"/>
      <c r="I138" s="90" t="s">
        <v>10</v>
      </c>
      <c r="J138" s="89">
        <v>0</v>
      </c>
      <c r="K138" s="91"/>
      <c r="L138" s="115"/>
      <c r="M138" s="115"/>
      <c r="N138" s="115"/>
      <c r="O138" s="115"/>
    </row>
    <row r="139" spans="1:15" ht="18" customHeight="1" x14ac:dyDescent="0.2">
      <c r="A139" s="238"/>
      <c r="B139" s="215"/>
      <c r="C139" s="92"/>
      <c r="D139" s="93" t="s">
        <v>7</v>
      </c>
      <c r="E139" s="94"/>
      <c r="F139" s="95">
        <v>7</v>
      </c>
      <c r="G139" s="218"/>
      <c r="H139" s="96"/>
      <c r="I139" s="97" t="s">
        <v>10</v>
      </c>
      <c r="J139" s="95">
        <v>7</v>
      </c>
      <c r="K139" s="98"/>
      <c r="L139" s="115"/>
      <c r="M139" s="115"/>
      <c r="N139" s="115"/>
      <c r="O139" s="115"/>
    </row>
    <row r="140" spans="1:15" ht="18" customHeight="1" x14ac:dyDescent="0.2">
      <c r="A140" s="238"/>
      <c r="B140" s="215"/>
      <c r="C140" s="92"/>
      <c r="D140" s="93" t="s">
        <v>7</v>
      </c>
      <c r="E140" s="94"/>
      <c r="F140" s="95">
        <v>7</v>
      </c>
      <c r="G140" s="218"/>
      <c r="H140" s="96"/>
      <c r="I140" s="97" t="s">
        <v>10</v>
      </c>
      <c r="J140" s="95">
        <v>7</v>
      </c>
      <c r="K140" s="98"/>
      <c r="L140" s="115"/>
      <c r="M140" s="115"/>
      <c r="N140" s="115"/>
      <c r="O140" s="115"/>
    </row>
    <row r="141" spans="1:15" ht="18.75" customHeight="1" thickBot="1" x14ac:dyDescent="0.25">
      <c r="A141" s="238"/>
      <c r="B141" s="216"/>
      <c r="C141" s="99"/>
      <c r="D141" s="100" t="s">
        <v>7</v>
      </c>
      <c r="E141" s="101"/>
      <c r="F141" s="102">
        <v>7</v>
      </c>
      <c r="G141" s="219"/>
      <c r="H141" s="103"/>
      <c r="I141" s="104" t="s">
        <v>10</v>
      </c>
      <c r="J141" s="102">
        <v>7</v>
      </c>
      <c r="K141" s="105"/>
      <c r="L141" s="115"/>
      <c r="M141" s="115"/>
      <c r="N141" s="115"/>
      <c r="O141" s="115"/>
    </row>
    <row r="142" spans="1:15" ht="23.25" x14ac:dyDescent="0.35">
      <c r="A142" s="118"/>
      <c r="B142" s="106"/>
      <c r="C142" s="107"/>
      <c r="D142" s="194" t="s">
        <v>20</v>
      </c>
      <c r="E142" s="195"/>
      <c r="F142" s="108">
        <f>SUM(F118:F141)</f>
        <v>168</v>
      </c>
      <c r="G142" s="107"/>
      <c r="H142" s="185" t="s">
        <v>20</v>
      </c>
      <c r="I142" s="186"/>
      <c r="J142" s="108">
        <f>SUM(J118:J141)</f>
        <v>161</v>
      </c>
      <c r="K142" s="109"/>
      <c r="L142" s="115"/>
      <c r="M142" s="115"/>
      <c r="N142" s="115"/>
      <c r="O142" s="115"/>
    </row>
    <row r="143" spans="1:15" ht="24" thickBot="1" x14ac:dyDescent="0.4">
      <c r="A143" s="119"/>
      <c r="B143" s="110"/>
      <c r="C143" s="111"/>
      <c r="D143" s="187" t="s">
        <v>21</v>
      </c>
      <c r="E143" s="188"/>
      <c r="F143" s="112">
        <f>F142/240*1</f>
        <v>0.7</v>
      </c>
      <c r="G143" s="111"/>
      <c r="H143" s="189" t="s">
        <v>22</v>
      </c>
      <c r="I143" s="190"/>
      <c r="J143" s="113">
        <f>J142/240*1</f>
        <v>0.67083333333333328</v>
      </c>
      <c r="K143" s="114"/>
      <c r="L143" s="115"/>
      <c r="M143" s="115"/>
      <c r="N143" s="115"/>
      <c r="O143" s="115"/>
    </row>
    <row r="144" spans="1:15" ht="24" thickBot="1" x14ac:dyDescent="0.4">
      <c r="A144" s="120">
        <v>6</v>
      </c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</row>
    <row r="145" spans="1:15" ht="21" thickBot="1" x14ac:dyDescent="0.35">
      <c r="A145" s="244" t="s">
        <v>25</v>
      </c>
      <c r="B145" s="191" t="s">
        <v>0</v>
      </c>
      <c r="C145" s="192"/>
      <c r="D145" s="192"/>
      <c r="E145" s="192"/>
      <c r="F145" s="192"/>
      <c r="G145" s="192"/>
      <c r="H145" s="192"/>
      <c r="I145" s="192"/>
      <c r="J145" s="192"/>
      <c r="K145" s="193"/>
      <c r="L145" s="115"/>
      <c r="M145" s="115"/>
      <c r="N145" s="115"/>
      <c r="O145" s="115"/>
    </row>
    <row r="146" spans="1:15" ht="21" thickBot="1" x14ac:dyDescent="0.35">
      <c r="A146" s="245"/>
      <c r="B146" s="196" t="s">
        <v>17</v>
      </c>
      <c r="C146" s="197"/>
      <c r="D146" s="197"/>
      <c r="E146" s="197"/>
      <c r="F146" s="198"/>
      <c r="G146" s="199" t="s">
        <v>1</v>
      </c>
      <c r="H146" s="200"/>
      <c r="I146" s="200"/>
      <c r="J146" s="200"/>
      <c r="K146" s="201"/>
      <c r="L146" s="115"/>
      <c r="M146" s="115"/>
      <c r="N146" s="115"/>
      <c r="O146" s="115"/>
    </row>
    <row r="147" spans="1:15" ht="41.25" thickBot="1" x14ac:dyDescent="0.25">
      <c r="A147" s="246"/>
      <c r="B147" s="2" t="s">
        <v>2</v>
      </c>
      <c r="C147" s="3" t="s">
        <v>6</v>
      </c>
      <c r="D147" s="3" t="s">
        <v>7</v>
      </c>
      <c r="E147" s="3" t="s">
        <v>8</v>
      </c>
      <c r="F147" s="4" t="s">
        <v>19</v>
      </c>
      <c r="G147" s="5" t="s">
        <v>2</v>
      </c>
      <c r="H147" s="6" t="s">
        <v>3</v>
      </c>
      <c r="I147" s="6" t="s">
        <v>4</v>
      </c>
      <c r="J147" s="7" t="s">
        <v>18</v>
      </c>
      <c r="K147" s="8" t="s">
        <v>5</v>
      </c>
      <c r="L147" s="115"/>
      <c r="M147" s="115"/>
      <c r="N147" s="115"/>
      <c r="O147" s="115"/>
    </row>
    <row r="148" spans="1:15" ht="18" x14ac:dyDescent="0.2">
      <c r="A148" s="237">
        <v>45325</v>
      </c>
      <c r="B148" s="220" t="s">
        <v>9</v>
      </c>
      <c r="C148" s="9"/>
      <c r="D148" s="9" t="s">
        <v>7</v>
      </c>
      <c r="E148" s="10"/>
      <c r="F148" s="11">
        <v>7</v>
      </c>
      <c r="G148" s="223" t="s">
        <v>9</v>
      </c>
      <c r="H148" s="12"/>
      <c r="I148" s="12" t="s">
        <v>10</v>
      </c>
      <c r="J148" s="11">
        <v>7</v>
      </c>
      <c r="K148" s="13"/>
      <c r="L148" s="115"/>
      <c r="M148" s="115"/>
      <c r="N148" s="115"/>
      <c r="O148" s="115"/>
    </row>
    <row r="149" spans="1:15" ht="18" x14ac:dyDescent="0.2">
      <c r="A149" s="238"/>
      <c r="B149" s="221"/>
      <c r="C149" s="14"/>
      <c r="D149" s="9" t="s">
        <v>7</v>
      </c>
      <c r="E149" s="10"/>
      <c r="F149" s="11">
        <v>7</v>
      </c>
      <c r="G149" s="224"/>
      <c r="H149" s="15"/>
      <c r="I149" s="16" t="s">
        <v>10</v>
      </c>
      <c r="J149" s="11">
        <v>7</v>
      </c>
      <c r="K149" s="17"/>
      <c r="L149" s="115"/>
      <c r="M149" s="115"/>
      <c r="N149" s="115"/>
      <c r="O149" s="115"/>
    </row>
    <row r="150" spans="1:15" ht="18" x14ac:dyDescent="0.2">
      <c r="A150" s="238"/>
      <c r="B150" s="221"/>
      <c r="C150" s="14"/>
      <c r="D150" s="9" t="s">
        <v>7</v>
      </c>
      <c r="E150" s="10"/>
      <c r="F150" s="11">
        <v>7</v>
      </c>
      <c r="G150" s="224"/>
      <c r="H150" s="15"/>
      <c r="I150" s="16" t="s">
        <v>10</v>
      </c>
      <c r="J150" s="11">
        <v>7</v>
      </c>
      <c r="K150" s="17"/>
      <c r="L150" s="115"/>
      <c r="M150" s="115"/>
      <c r="N150" s="115"/>
      <c r="O150" s="115"/>
    </row>
    <row r="151" spans="1:15" ht="18.75" thickBot="1" x14ac:dyDescent="0.25">
      <c r="A151" s="238"/>
      <c r="B151" s="222"/>
      <c r="C151" s="18"/>
      <c r="D151" s="19" t="s">
        <v>7</v>
      </c>
      <c r="E151" s="20"/>
      <c r="F151" s="21">
        <v>7</v>
      </c>
      <c r="G151" s="225"/>
      <c r="H151" s="22"/>
      <c r="I151" s="23" t="s">
        <v>10</v>
      </c>
      <c r="J151" s="21">
        <v>7</v>
      </c>
      <c r="K151" s="24"/>
      <c r="L151" s="115"/>
      <c r="M151" s="115"/>
      <c r="N151" s="115"/>
      <c r="O151" s="115"/>
    </row>
    <row r="152" spans="1:15" ht="18" customHeight="1" x14ac:dyDescent="0.2">
      <c r="A152" s="237">
        <v>45326</v>
      </c>
      <c r="B152" s="226" t="s">
        <v>12</v>
      </c>
      <c r="C152" s="25"/>
      <c r="D152" s="25" t="s">
        <v>7</v>
      </c>
      <c r="E152" s="26"/>
      <c r="F152" s="27">
        <v>7</v>
      </c>
      <c r="G152" s="229" t="s">
        <v>12</v>
      </c>
      <c r="H152" s="28"/>
      <c r="I152" s="28" t="s">
        <v>10</v>
      </c>
      <c r="J152" s="27">
        <v>7</v>
      </c>
      <c r="K152" s="29"/>
      <c r="L152" s="115"/>
      <c r="M152" s="115"/>
      <c r="N152" s="115"/>
      <c r="O152" s="115"/>
    </row>
    <row r="153" spans="1:15" ht="18" customHeight="1" x14ac:dyDescent="0.2">
      <c r="A153" s="238"/>
      <c r="B153" s="227"/>
      <c r="C153" s="30"/>
      <c r="D153" s="31" t="s">
        <v>7</v>
      </c>
      <c r="E153" s="32"/>
      <c r="F153" s="33">
        <v>7</v>
      </c>
      <c r="G153" s="230"/>
      <c r="H153" s="34"/>
      <c r="I153" s="35" t="s">
        <v>10</v>
      </c>
      <c r="J153" s="33">
        <v>7</v>
      </c>
      <c r="K153" s="36"/>
      <c r="L153" s="115"/>
      <c r="M153" s="115"/>
      <c r="N153" s="115"/>
      <c r="O153" s="115"/>
    </row>
    <row r="154" spans="1:15" ht="18" customHeight="1" x14ac:dyDescent="0.2">
      <c r="A154" s="238"/>
      <c r="B154" s="227"/>
      <c r="C154" s="30"/>
      <c r="D154" s="31" t="s">
        <v>7</v>
      </c>
      <c r="E154" s="32"/>
      <c r="F154" s="33">
        <v>7</v>
      </c>
      <c r="G154" s="230"/>
      <c r="H154" s="34"/>
      <c r="I154" s="35" t="s">
        <v>10</v>
      </c>
      <c r="J154" s="33">
        <v>7</v>
      </c>
      <c r="K154" s="36"/>
      <c r="L154" s="115"/>
      <c r="M154" s="115"/>
      <c r="N154" s="115"/>
      <c r="O154" s="115"/>
    </row>
    <row r="155" spans="1:15" ht="18.75" customHeight="1" thickBot="1" x14ac:dyDescent="0.25">
      <c r="A155" s="238"/>
      <c r="B155" s="228"/>
      <c r="C155" s="37"/>
      <c r="D155" s="38" t="s">
        <v>7</v>
      </c>
      <c r="E155" s="39"/>
      <c r="F155" s="40">
        <v>7</v>
      </c>
      <c r="G155" s="231"/>
      <c r="H155" s="41"/>
      <c r="I155" s="42" t="s">
        <v>10</v>
      </c>
      <c r="J155" s="40">
        <v>7</v>
      </c>
      <c r="K155" s="43"/>
      <c r="L155" s="115"/>
      <c r="M155" s="115"/>
      <c r="N155" s="115"/>
      <c r="O155" s="115"/>
    </row>
    <row r="156" spans="1:15" ht="18" customHeight="1" x14ac:dyDescent="0.2">
      <c r="A156" s="237">
        <v>45327</v>
      </c>
      <c r="B156" s="232" t="s">
        <v>13</v>
      </c>
      <c r="C156" s="44"/>
      <c r="D156" s="44" t="s">
        <v>7</v>
      </c>
      <c r="E156" s="45"/>
      <c r="F156" s="46">
        <v>7</v>
      </c>
      <c r="G156" s="185" t="s">
        <v>13</v>
      </c>
      <c r="H156" s="47"/>
      <c r="I156" s="47" t="s">
        <v>10</v>
      </c>
      <c r="J156" s="46">
        <v>7</v>
      </c>
      <c r="K156" s="48"/>
      <c r="L156" s="115"/>
      <c r="M156" s="115"/>
      <c r="N156" s="115"/>
      <c r="O156" s="115"/>
    </row>
    <row r="157" spans="1:15" ht="18" customHeight="1" x14ac:dyDescent="0.2">
      <c r="A157" s="238"/>
      <c r="B157" s="233"/>
      <c r="C157" s="49"/>
      <c r="D157" s="44" t="s">
        <v>7</v>
      </c>
      <c r="E157" s="45"/>
      <c r="F157" s="46">
        <v>7</v>
      </c>
      <c r="G157" s="235"/>
      <c r="H157" s="50"/>
      <c r="I157" s="51" t="s">
        <v>10</v>
      </c>
      <c r="J157" s="46">
        <v>7</v>
      </c>
      <c r="K157" s="52"/>
      <c r="L157" s="115"/>
      <c r="M157" s="115"/>
      <c r="N157" s="115"/>
      <c r="O157" s="115"/>
    </row>
    <row r="158" spans="1:15" ht="18" customHeight="1" x14ac:dyDescent="0.2">
      <c r="A158" s="238"/>
      <c r="B158" s="233"/>
      <c r="C158" s="49"/>
      <c r="D158" s="44" t="s">
        <v>7</v>
      </c>
      <c r="E158" s="45"/>
      <c r="F158" s="46">
        <v>7</v>
      </c>
      <c r="G158" s="235"/>
      <c r="H158" s="50"/>
      <c r="I158" s="51" t="s">
        <v>10</v>
      </c>
      <c r="J158" s="46">
        <v>7</v>
      </c>
      <c r="K158" s="52"/>
      <c r="L158" s="115"/>
      <c r="M158" s="115"/>
      <c r="N158" s="115"/>
      <c r="O158" s="115"/>
    </row>
    <row r="159" spans="1:15" ht="18.75" customHeight="1" thickBot="1" x14ac:dyDescent="0.25">
      <c r="A159" s="238"/>
      <c r="B159" s="234"/>
      <c r="C159" s="53"/>
      <c r="D159" s="54" t="s">
        <v>7</v>
      </c>
      <c r="E159" s="55"/>
      <c r="F159" s="56">
        <v>7</v>
      </c>
      <c r="G159" s="236"/>
      <c r="H159" s="57"/>
      <c r="I159" s="58" t="s">
        <v>10</v>
      </c>
      <c r="J159" s="56">
        <v>7</v>
      </c>
      <c r="K159" s="59"/>
      <c r="L159" s="115"/>
      <c r="M159" s="115"/>
      <c r="N159" s="115"/>
      <c r="O159" s="115"/>
    </row>
    <row r="160" spans="1:15" ht="18" customHeight="1" x14ac:dyDescent="0.2">
      <c r="A160" s="237">
        <v>45328</v>
      </c>
      <c r="B160" s="202" t="s">
        <v>14</v>
      </c>
      <c r="C160" s="60"/>
      <c r="D160" s="60" t="s">
        <v>7</v>
      </c>
      <c r="E160" s="61"/>
      <c r="F160" s="62">
        <v>7</v>
      </c>
      <c r="G160" s="205" t="s">
        <v>14</v>
      </c>
      <c r="H160" s="44"/>
      <c r="I160" s="44" t="s">
        <v>10</v>
      </c>
      <c r="J160" s="62">
        <v>7</v>
      </c>
      <c r="K160" s="45"/>
      <c r="L160" s="115"/>
      <c r="M160" s="115"/>
      <c r="N160" s="115"/>
      <c r="O160" s="115"/>
    </row>
    <row r="161" spans="1:15" ht="18" customHeight="1" x14ac:dyDescent="0.2">
      <c r="A161" s="238"/>
      <c r="B161" s="203"/>
      <c r="C161" s="63"/>
      <c r="D161" s="64" t="s">
        <v>7</v>
      </c>
      <c r="E161" s="65"/>
      <c r="F161" s="66">
        <v>7</v>
      </c>
      <c r="G161" s="206"/>
      <c r="H161" s="49"/>
      <c r="I161" s="44" t="s">
        <v>10</v>
      </c>
      <c r="J161" s="66">
        <v>7</v>
      </c>
      <c r="K161" s="67"/>
      <c r="L161" s="115"/>
      <c r="M161" s="115"/>
      <c r="N161" s="115"/>
      <c r="O161" s="115"/>
    </row>
    <row r="162" spans="1:15" ht="18" customHeight="1" x14ac:dyDescent="0.2">
      <c r="A162" s="238"/>
      <c r="B162" s="203"/>
      <c r="C162" s="63"/>
      <c r="D162" s="64" t="s">
        <v>7</v>
      </c>
      <c r="E162" s="65"/>
      <c r="F162" s="66">
        <v>7</v>
      </c>
      <c r="G162" s="206"/>
      <c r="H162" s="49"/>
      <c r="I162" s="44" t="s">
        <v>10</v>
      </c>
      <c r="J162" s="66">
        <v>7</v>
      </c>
      <c r="K162" s="67"/>
      <c r="L162" s="115"/>
      <c r="M162" s="115"/>
      <c r="N162" s="115"/>
      <c r="O162" s="115"/>
    </row>
    <row r="163" spans="1:15" ht="18.75" customHeight="1" thickBot="1" x14ac:dyDescent="0.25">
      <c r="A163" s="238"/>
      <c r="B163" s="204"/>
      <c r="C163" s="68"/>
      <c r="D163" s="69" t="s">
        <v>7</v>
      </c>
      <c r="E163" s="70"/>
      <c r="F163" s="71">
        <v>7</v>
      </c>
      <c r="G163" s="207"/>
      <c r="H163" s="53"/>
      <c r="I163" s="54" t="s">
        <v>10</v>
      </c>
      <c r="J163" s="71">
        <v>7</v>
      </c>
      <c r="K163" s="72"/>
      <c r="L163" s="115"/>
      <c r="M163" s="115"/>
      <c r="N163" s="115"/>
      <c r="O163" s="115"/>
    </row>
    <row r="164" spans="1:15" ht="18" customHeight="1" x14ac:dyDescent="0.2">
      <c r="A164" s="237">
        <v>45329</v>
      </c>
      <c r="B164" s="208" t="s">
        <v>15</v>
      </c>
      <c r="C164" s="16"/>
      <c r="D164" s="16" t="s">
        <v>7</v>
      </c>
      <c r="E164" s="73"/>
      <c r="F164" s="74">
        <v>7</v>
      </c>
      <c r="G164" s="211" t="s">
        <v>15</v>
      </c>
      <c r="H164" s="75"/>
      <c r="I164" s="75" t="s">
        <v>10</v>
      </c>
      <c r="J164" s="74">
        <v>7</v>
      </c>
      <c r="K164" s="76"/>
      <c r="L164" s="115"/>
      <c r="M164" s="115"/>
      <c r="N164" s="115"/>
      <c r="O164" s="115"/>
    </row>
    <row r="165" spans="1:15" ht="18" customHeight="1" x14ac:dyDescent="0.2">
      <c r="A165" s="238"/>
      <c r="B165" s="209"/>
      <c r="C165" s="15"/>
      <c r="D165" s="16" t="s">
        <v>7</v>
      </c>
      <c r="E165" s="73"/>
      <c r="F165" s="74">
        <v>7</v>
      </c>
      <c r="G165" s="212"/>
      <c r="H165" s="77"/>
      <c r="I165" s="78" t="s">
        <v>10</v>
      </c>
      <c r="J165" s="74">
        <v>7</v>
      </c>
      <c r="K165" s="79"/>
      <c r="L165" s="115"/>
      <c r="M165" s="115"/>
      <c r="N165" s="115"/>
      <c r="O165" s="115"/>
    </row>
    <row r="166" spans="1:15" ht="18" customHeight="1" x14ac:dyDescent="0.2">
      <c r="A166" s="238"/>
      <c r="B166" s="209"/>
      <c r="C166" s="15"/>
      <c r="D166" s="16" t="s">
        <v>7</v>
      </c>
      <c r="E166" s="73"/>
      <c r="F166" s="74">
        <v>7</v>
      </c>
      <c r="G166" s="212"/>
      <c r="H166" s="77"/>
      <c r="I166" s="78" t="s">
        <v>10</v>
      </c>
      <c r="J166" s="74">
        <v>7</v>
      </c>
      <c r="K166" s="79"/>
      <c r="L166" s="115"/>
      <c r="M166" s="115"/>
      <c r="N166" s="115"/>
      <c r="O166" s="115"/>
    </row>
    <row r="167" spans="1:15" ht="18.75" customHeight="1" thickBot="1" x14ac:dyDescent="0.25">
      <c r="A167" s="238"/>
      <c r="B167" s="210"/>
      <c r="C167" s="80"/>
      <c r="D167" s="81" t="s">
        <v>7</v>
      </c>
      <c r="E167" s="82"/>
      <c r="F167" s="83">
        <v>7</v>
      </c>
      <c r="G167" s="213"/>
      <c r="H167" s="84"/>
      <c r="I167" s="85" t="s">
        <v>10</v>
      </c>
      <c r="J167" s="83">
        <v>7</v>
      </c>
      <c r="K167" s="86"/>
      <c r="L167" s="115"/>
      <c r="M167" s="115"/>
      <c r="N167" s="115"/>
      <c r="O167" s="115"/>
    </row>
    <row r="168" spans="1:15" ht="18" customHeight="1" x14ac:dyDescent="0.2">
      <c r="A168" s="237">
        <v>45330</v>
      </c>
      <c r="B168" s="214" t="s">
        <v>16</v>
      </c>
      <c r="C168" s="87"/>
      <c r="D168" s="87" t="s">
        <v>7</v>
      </c>
      <c r="E168" s="88"/>
      <c r="F168" s="89">
        <v>7</v>
      </c>
      <c r="G168" s="217" t="s">
        <v>16</v>
      </c>
      <c r="H168" s="90"/>
      <c r="I168" s="90" t="s">
        <v>10</v>
      </c>
      <c r="J168" s="89">
        <v>0</v>
      </c>
      <c r="K168" s="91"/>
      <c r="L168" s="115"/>
      <c r="M168" s="115"/>
      <c r="N168" s="115"/>
      <c r="O168" s="115"/>
    </row>
    <row r="169" spans="1:15" ht="18" customHeight="1" x14ac:dyDescent="0.2">
      <c r="A169" s="238"/>
      <c r="B169" s="215"/>
      <c r="C169" s="92"/>
      <c r="D169" s="93" t="s">
        <v>7</v>
      </c>
      <c r="E169" s="94"/>
      <c r="F169" s="95">
        <v>7</v>
      </c>
      <c r="G169" s="218"/>
      <c r="H169" s="96"/>
      <c r="I169" s="97" t="s">
        <v>10</v>
      </c>
      <c r="J169" s="95">
        <v>7</v>
      </c>
      <c r="K169" s="98"/>
      <c r="L169" s="115"/>
      <c r="M169" s="115"/>
      <c r="N169" s="115"/>
      <c r="O169" s="115"/>
    </row>
    <row r="170" spans="1:15" ht="18" customHeight="1" x14ac:dyDescent="0.2">
      <c r="A170" s="238"/>
      <c r="B170" s="215"/>
      <c r="C170" s="92"/>
      <c r="D170" s="93" t="s">
        <v>7</v>
      </c>
      <c r="E170" s="94"/>
      <c r="F170" s="95">
        <v>7</v>
      </c>
      <c r="G170" s="218"/>
      <c r="H170" s="96"/>
      <c r="I170" s="97" t="s">
        <v>10</v>
      </c>
      <c r="J170" s="95">
        <v>7</v>
      </c>
      <c r="K170" s="98"/>
      <c r="L170" s="115"/>
      <c r="M170" s="115"/>
      <c r="N170" s="115"/>
      <c r="O170" s="115"/>
    </row>
    <row r="171" spans="1:15" ht="18.75" customHeight="1" thickBot="1" x14ac:dyDescent="0.25">
      <c r="A171" s="238"/>
      <c r="B171" s="216"/>
      <c r="C171" s="99"/>
      <c r="D171" s="100" t="s">
        <v>7</v>
      </c>
      <c r="E171" s="101"/>
      <c r="F171" s="102">
        <v>7</v>
      </c>
      <c r="G171" s="219"/>
      <c r="H171" s="103"/>
      <c r="I171" s="104" t="s">
        <v>10</v>
      </c>
      <c r="J171" s="102">
        <v>7</v>
      </c>
      <c r="K171" s="105"/>
      <c r="L171" s="115"/>
      <c r="M171" s="115"/>
      <c r="N171" s="115"/>
      <c r="O171" s="115"/>
    </row>
    <row r="172" spans="1:15" ht="23.25" x14ac:dyDescent="0.35">
      <c r="A172" s="118"/>
      <c r="B172" s="106"/>
      <c r="C172" s="107"/>
      <c r="D172" s="194" t="s">
        <v>20</v>
      </c>
      <c r="E172" s="195"/>
      <c r="F172" s="108">
        <f>SUM(F148:F171)</f>
        <v>168</v>
      </c>
      <c r="G172" s="107"/>
      <c r="H172" s="185" t="s">
        <v>20</v>
      </c>
      <c r="I172" s="186"/>
      <c r="J172" s="108">
        <f>SUM(J148:J171)</f>
        <v>161</v>
      </c>
      <c r="K172" s="109"/>
      <c r="L172" s="115"/>
      <c r="M172" s="115"/>
      <c r="N172" s="115"/>
      <c r="O172" s="115"/>
    </row>
    <row r="173" spans="1:15" ht="24" thickBot="1" x14ac:dyDescent="0.4">
      <c r="A173" s="119"/>
      <c r="B173" s="110"/>
      <c r="C173" s="111"/>
      <c r="D173" s="187" t="s">
        <v>21</v>
      </c>
      <c r="E173" s="188"/>
      <c r="F173" s="112">
        <f>F172/240*1</f>
        <v>0.7</v>
      </c>
      <c r="G173" s="111"/>
      <c r="H173" s="189" t="s">
        <v>22</v>
      </c>
      <c r="I173" s="190"/>
      <c r="J173" s="113">
        <f>J172/240*1</f>
        <v>0.67083333333333328</v>
      </c>
      <c r="K173" s="114"/>
      <c r="L173" s="115"/>
      <c r="M173" s="115"/>
      <c r="N173" s="115"/>
      <c r="O173" s="115"/>
    </row>
    <row r="174" spans="1:15" ht="24" thickBot="1" x14ac:dyDescent="0.4">
      <c r="A174" s="120">
        <v>7</v>
      </c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</row>
    <row r="175" spans="1:15" ht="21" thickBot="1" x14ac:dyDescent="0.35">
      <c r="A175" s="244" t="s">
        <v>25</v>
      </c>
      <c r="B175" s="191" t="s">
        <v>0</v>
      </c>
      <c r="C175" s="192"/>
      <c r="D175" s="192"/>
      <c r="E175" s="192"/>
      <c r="F175" s="192"/>
      <c r="G175" s="192"/>
      <c r="H175" s="192"/>
      <c r="I175" s="192"/>
      <c r="J175" s="192"/>
      <c r="K175" s="193"/>
      <c r="L175" s="115"/>
      <c r="M175" s="115"/>
      <c r="N175" s="115"/>
      <c r="O175" s="115"/>
    </row>
    <row r="176" spans="1:15" ht="21" thickBot="1" x14ac:dyDescent="0.35">
      <c r="A176" s="245"/>
      <c r="B176" s="196" t="s">
        <v>17</v>
      </c>
      <c r="C176" s="197"/>
      <c r="D176" s="197"/>
      <c r="E176" s="197"/>
      <c r="F176" s="198"/>
      <c r="G176" s="199" t="s">
        <v>1</v>
      </c>
      <c r="H176" s="200"/>
      <c r="I176" s="200"/>
      <c r="J176" s="200"/>
      <c r="K176" s="201"/>
      <c r="L176" s="115"/>
      <c r="M176" s="115"/>
      <c r="N176" s="115"/>
      <c r="O176" s="115"/>
    </row>
    <row r="177" spans="1:15" ht="41.25" thickBot="1" x14ac:dyDescent="0.25">
      <c r="A177" s="246"/>
      <c r="B177" s="2" t="s">
        <v>2</v>
      </c>
      <c r="C177" s="3" t="s">
        <v>6</v>
      </c>
      <c r="D177" s="3" t="s">
        <v>7</v>
      </c>
      <c r="E177" s="3" t="s">
        <v>8</v>
      </c>
      <c r="F177" s="4" t="s">
        <v>19</v>
      </c>
      <c r="G177" s="5" t="s">
        <v>2</v>
      </c>
      <c r="H177" s="6" t="s">
        <v>3</v>
      </c>
      <c r="I177" s="6" t="s">
        <v>4</v>
      </c>
      <c r="J177" s="7" t="s">
        <v>18</v>
      </c>
      <c r="K177" s="8" t="s">
        <v>5</v>
      </c>
      <c r="L177" s="115"/>
      <c r="M177" s="115"/>
      <c r="N177" s="115"/>
      <c r="O177" s="115"/>
    </row>
    <row r="178" spans="1:15" ht="18" x14ac:dyDescent="0.2">
      <c r="A178" s="237">
        <v>45332</v>
      </c>
      <c r="B178" s="220" t="s">
        <v>9</v>
      </c>
      <c r="C178" s="9"/>
      <c r="D178" s="9" t="s">
        <v>7</v>
      </c>
      <c r="E178" s="10"/>
      <c r="F178" s="11">
        <v>7</v>
      </c>
      <c r="G178" s="223" t="s">
        <v>9</v>
      </c>
      <c r="H178" s="12"/>
      <c r="I178" s="12" t="s">
        <v>10</v>
      </c>
      <c r="J178" s="11">
        <v>7</v>
      </c>
      <c r="K178" s="13"/>
      <c r="L178" s="115"/>
      <c r="M178" s="115"/>
      <c r="N178" s="115"/>
      <c r="O178" s="115"/>
    </row>
    <row r="179" spans="1:15" ht="18" x14ac:dyDescent="0.2">
      <c r="A179" s="238"/>
      <c r="B179" s="221"/>
      <c r="C179" s="14"/>
      <c r="D179" s="9" t="s">
        <v>7</v>
      </c>
      <c r="E179" s="10"/>
      <c r="F179" s="11">
        <v>7</v>
      </c>
      <c r="G179" s="224"/>
      <c r="H179" s="15"/>
      <c r="I179" s="16" t="s">
        <v>10</v>
      </c>
      <c r="J179" s="11">
        <v>7</v>
      </c>
      <c r="K179" s="17"/>
      <c r="L179" s="115"/>
      <c r="M179" s="115"/>
      <c r="N179" s="115"/>
      <c r="O179" s="115"/>
    </row>
    <row r="180" spans="1:15" ht="18" x14ac:dyDescent="0.2">
      <c r="A180" s="238"/>
      <c r="B180" s="221"/>
      <c r="C180" s="14"/>
      <c r="D180" s="9" t="s">
        <v>7</v>
      </c>
      <c r="E180" s="10"/>
      <c r="F180" s="11">
        <v>7</v>
      </c>
      <c r="G180" s="224"/>
      <c r="H180" s="15"/>
      <c r="I180" s="16" t="s">
        <v>10</v>
      </c>
      <c r="J180" s="11">
        <v>7</v>
      </c>
      <c r="K180" s="17"/>
      <c r="L180" s="115"/>
      <c r="M180" s="115"/>
      <c r="N180" s="115"/>
      <c r="O180" s="115"/>
    </row>
    <row r="181" spans="1:15" ht="18.75" thickBot="1" x14ac:dyDescent="0.25">
      <c r="A181" s="238"/>
      <c r="B181" s="222"/>
      <c r="C181" s="18"/>
      <c r="D181" s="19" t="s">
        <v>7</v>
      </c>
      <c r="E181" s="20"/>
      <c r="F181" s="21">
        <v>7</v>
      </c>
      <c r="G181" s="225"/>
      <c r="H181" s="22"/>
      <c r="I181" s="23" t="s">
        <v>10</v>
      </c>
      <c r="J181" s="21">
        <v>7</v>
      </c>
      <c r="K181" s="24"/>
      <c r="L181" s="115"/>
      <c r="M181" s="115"/>
      <c r="N181" s="115"/>
      <c r="O181" s="115"/>
    </row>
    <row r="182" spans="1:15" ht="18" customHeight="1" x14ac:dyDescent="0.2">
      <c r="A182" s="237">
        <v>45333</v>
      </c>
      <c r="B182" s="226" t="s">
        <v>12</v>
      </c>
      <c r="C182" s="25"/>
      <c r="D182" s="25" t="s">
        <v>7</v>
      </c>
      <c r="E182" s="26"/>
      <c r="F182" s="27">
        <v>7</v>
      </c>
      <c r="G182" s="229" t="s">
        <v>12</v>
      </c>
      <c r="H182" s="28"/>
      <c r="I182" s="28" t="s">
        <v>10</v>
      </c>
      <c r="J182" s="27">
        <v>7</v>
      </c>
      <c r="K182" s="29"/>
      <c r="L182" s="115"/>
      <c r="M182" s="115"/>
      <c r="N182" s="115"/>
      <c r="O182" s="115"/>
    </row>
    <row r="183" spans="1:15" ht="18" customHeight="1" x14ac:dyDescent="0.2">
      <c r="A183" s="238"/>
      <c r="B183" s="227"/>
      <c r="C183" s="30"/>
      <c r="D183" s="31" t="s">
        <v>7</v>
      </c>
      <c r="E183" s="32"/>
      <c r="F183" s="33">
        <v>7</v>
      </c>
      <c r="G183" s="230"/>
      <c r="H183" s="34"/>
      <c r="I183" s="35" t="s">
        <v>10</v>
      </c>
      <c r="J183" s="33">
        <v>7</v>
      </c>
      <c r="K183" s="36"/>
      <c r="L183" s="115"/>
      <c r="M183" s="115"/>
      <c r="N183" s="115"/>
      <c r="O183" s="115"/>
    </row>
    <row r="184" spans="1:15" ht="18" customHeight="1" x14ac:dyDescent="0.2">
      <c r="A184" s="238"/>
      <c r="B184" s="227"/>
      <c r="C184" s="30"/>
      <c r="D184" s="31" t="s">
        <v>7</v>
      </c>
      <c r="E184" s="32"/>
      <c r="F184" s="33">
        <v>7</v>
      </c>
      <c r="G184" s="230"/>
      <c r="H184" s="34"/>
      <c r="I184" s="35" t="s">
        <v>10</v>
      </c>
      <c r="J184" s="33">
        <v>7</v>
      </c>
      <c r="K184" s="36"/>
      <c r="L184" s="115"/>
      <c r="M184" s="115"/>
      <c r="N184" s="115"/>
      <c r="O184" s="115"/>
    </row>
    <row r="185" spans="1:15" ht="18.75" customHeight="1" thickBot="1" x14ac:dyDescent="0.25">
      <c r="A185" s="238"/>
      <c r="B185" s="228"/>
      <c r="C185" s="37"/>
      <c r="D185" s="38" t="s">
        <v>7</v>
      </c>
      <c r="E185" s="39"/>
      <c r="F185" s="40">
        <v>7</v>
      </c>
      <c r="G185" s="231"/>
      <c r="H185" s="41"/>
      <c r="I185" s="42" t="s">
        <v>10</v>
      </c>
      <c r="J185" s="40">
        <v>7</v>
      </c>
      <c r="K185" s="43"/>
      <c r="L185" s="115"/>
      <c r="M185" s="115"/>
      <c r="N185" s="115"/>
      <c r="O185" s="115"/>
    </row>
    <row r="186" spans="1:15" ht="18" customHeight="1" x14ac:dyDescent="0.2">
      <c r="A186" s="237">
        <v>45334</v>
      </c>
      <c r="B186" s="232" t="s">
        <v>13</v>
      </c>
      <c r="C186" s="44"/>
      <c r="D186" s="44" t="s">
        <v>7</v>
      </c>
      <c r="E186" s="45"/>
      <c r="F186" s="46">
        <v>7</v>
      </c>
      <c r="G186" s="185" t="s">
        <v>13</v>
      </c>
      <c r="H186" s="47"/>
      <c r="I186" s="47" t="s">
        <v>10</v>
      </c>
      <c r="J186" s="46">
        <v>7</v>
      </c>
      <c r="K186" s="48"/>
      <c r="L186" s="115"/>
      <c r="M186" s="115"/>
      <c r="N186" s="115"/>
      <c r="O186" s="115"/>
    </row>
    <row r="187" spans="1:15" ht="18" customHeight="1" x14ac:dyDescent="0.2">
      <c r="A187" s="238"/>
      <c r="B187" s="233"/>
      <c r="C187" s="49"/>
      <c r="D187" s="44" t="s">
        <v>7</v>
      </c>
      <c r="E187" s="45"/>
      <c r="F187" s="46">
        <v>7</v>
      </c>
      <c r="G187" s="235"/>
      <c r="H187" s="50"/>
      <c r="I187" s="51" t="s">
        <v>10</v>
      </c>
      <c r="J187" s="46">
        <v>7</v>
      </c>
      <c r="K187" s="52"/>
      <c r="L187" s="115"/>
      <c r="M187" s="115"/>
      <c r="N187" s="115"/>
      <c r="O187" s="115"/>
    </row>
    <row r="188" spans="1:15" ht="18" customHeight="1" x14ac:dyDescent="0.2">
      <c r="A188" s="238"/>
      <c r="B188" s="233"/>
      <c r="C188" s="49"/>
      <c r="D188" s="44" t="s">
        <v>7</v>
      </c>
      <c r="E188" s="45"/>
      <c r="F188" s="46">
        <v>7</v>
      </c>
      <c r="G188" s="235"/>
      <c r="H188" s="50"/>
      <c r="I188" s="51" t="s">
        <v>10</v>
      </c>
      <c r="J188" s="46">
        <v>7</v>
      </c>
      <c r="K188" s="52"/>
      <c r="L188" s="115"/>
      <c r="M188" s="115"/>
      <c r="N188" s="115"/>
      <c r="O188" s="115"/>
    </row>
    <row r="189" spans="1:15" ht="18.75" customHeight="1" thickBot="1" x14ac:dyDescent="0.25">
      <c r="A189" s="238"/>
      <c r="B189" s="234"/>
      <c r="C189" s="53"/>
      <c r="D189" s="54" t="s">
        <v>7</v>
      </c>
      <c r="E189" s="55"/>
      <c r="F189" s="56">
        <v>7</v>
      </c>
      <c r="G189" s="236"/>
      <c r="H189" s="57"/>
      <c r="I189" s="58" t="s">
        <v>10</v>
      </c>
      <c r="J189" s="56">
        <v>7</v>
      </c>
      <c r="K189" s="59"/>
      <c r="L189" s="115"/>
      <c r="M189" s="115"/>
      <c r="N189" s="115"/>
      <c r="O189" s="115"/>
    </row>
    <row r="190" spans="1:15" ht="18" customHeight="1" x14ac:dyDescent="0.2">
      <c r="A190" s="237">
        <v>45335</v>
      </c>
      <c r="B190" s="202" t="s">
        <v>14</v>
      </c>
      <c r="C190" s="60"/>
      <c r="D190" s="60" t="s">
        <v>7</v>
      </c>
      <c r="E190" s="61"/>
      <c r="F190" s="62">
        <v>7</v>
      </c>
      <c r="G190" s="205" t="s">
        <v>14</v>
      </c>
      <c r="H190" s="44"/>
      <c r="I190" s="44" t="s">
        <v>10</v>
      </c>
      <c r="J190" s="62">
        <v>7</v>
      </c>
      <c r="K190" s="45"/>
      <c r="L190" s="115"/>
      <c r="M190" s="115"/>
      <c r="N190" s="115"/>
      <c r="O190" s="115"/>
    </row>
    <row r="191" spans="1:15" ht="18" customHeight="1" x14ac:dyDescent="0.2">
      <c r="A191" s="238"/>
      <c r="B191" s="203"/>
      <c r="C191" s="63"/>
      <c r="D191" s="64" t="s">
        <v>7</v>
      </c>
      <c r="E191" s="65"/>
      <c r="F191" s="66">
        <v>7</v>
      </c>
      <c r="G191" s="206"/>
      <c r="H191" s="49"/>
      <c r="I191" s="44" t="s">
        <v>10</v>
      </c>
      <c r="J191" s="66">
        <v>7</v>
      </c>
      <c r="K191" s="67"/>
      <c r="L191" s="115"/>
      <c r="M191" s="115"/>
      <c r="N191" s="115"/>
      <c r="O191" s="115"/>
    </row>
    <row r="192" spans="1:15" ht="18" customHeight="1" x14ac:dyDescent="0.2">
      <c r="A192" s="238"/>
      <c r="B192" s="203"/>
      <c r="C192" s="63"/>
      <c r="D192" s="64" t="s">
        <v>7</v>
      </c>
      <c r="E192" s="65"/>
      <c r="F192" s="66">
        <v>7</v>
      </c>
      <c r="G192" s="206"/>
      <c r="H192" s="49"/>
      <c r="I192" s="44" t="s">
        <v>10</v>
      </c>
      <c r="J192" s="66">
        <v>7</v>
      </c>
      <c r="K192" s="67"/>
      <c r="L192" s="115"/>
      <c r="M192" s="115"/>
      <c r="N192" s="115"/>
      <c r="O192" s="115"/>
    </row>
    <row r="193" spans="1:15" ht="18.75" customHeight="1" thickBot="1" x14ac:dyDescent="0.25">
      <c r="A193" s="238"/>
      <c r="B193" s="204"/>
      <c r="C193" s="68"/>
      <c r="D193" s="69" t="s">
        <v>7</v>
      </c>
      <c r="E193" s="70"/>
      <c r="F193" s="71">
        <v>7</v>
      </c>
      <c r="G193" s="207"/>
      <c r="H193" s="53"/>
      <c r="I193" s="54" t="s">
        <v>10</v>
      </c>
      <c r="J193" s="71">
        <v>7</v>
      </c>
      <c r="K193" s="72"/>
      <c r="L193" s="115"/>
      <c r="M193" s="115"/>
      <c r="N193" s="115"/>
      <c r="O193" s="115"/>
    </row>
    <row r="194" spans="1:15" ht="18" customHeight="1" x14ac:dyDescent="0.2">
      <c r="A194" s="237">
        <v>45336</v>
      </c>
      <c r="B194" s="208" t="s">
        <v>15</v>
      </c>
      <c r="C194" s="16"/>
      <c r="D194" s="16" t="s">
        <v>7</v>
      </c>
      <c r="E194" s="73"/>
      <c r="F194" s="74">
        <v>7</v>
      </c>
      <c r="G194" s="211" t="s">
        <v>15</v>
      </c>
      <c r="H194" s="75"/>
      <c r="I194" s="75" t="s">
        <v>10</v>
      </c>
      <c r="J194" s="74">
        <v>7</v>
      </c>
      <c r="K194" s="76"/>
      <c r="L194" s="115"/>
      <c r="M194" s="115"/>
      <c r="N194" s="115"/>
      <c r="O194" s="115"/>
    </row>
    <row r="195" spans="1:15" ht="18" customHeight="1" x14ac:dyDescent="0.2">
      <c r="A195" s="238"/>
      <c r="B195" s="209"/>
      <c r="C195" s="15"/>
      <c r="D195" s="16" t="s">
        <v>7</v>
      </c>
      <c r="E195" s="73"/>
      <c r="F195" s="74">
        <v>7</v>
      </c>
      <c r="G195" s="212"/>
      <c r="H195" s="77"/>
      <c r="I195" s="78" t="s">
        <v>10</v>
      </c>
      <c r="J195" s="74">
        <v>7</v>
      </c>
      <c r="K195" s="79"/>
      <c r="L195" s="115"/>
      <c r="M195" s="115"/>
      <c r="N195" s="115"/>
      <c r="O195" s="115"/>
    </row>
    <row r="196" spans="1:15" ht="18" customHeight="1" x14ac:dyDescent="0.2">
      <c r="A196" s="238"/>
      <c r="B196" s="209"/>
      <c r="C196" s="15"/>
      <c r="D196" s="16" t="s">
        <v>7</v>
      </c>
      <c r="E196" s="73"/>
      <c r="F196" s="74">
        <v>7</v>
      </c>
      <c r="G196" s="212"/>
      <c r="H196" s="77"/>
      <c r="I196" s="78" t="s">
        <v>10</v>
      </c>
      <c r="J196" s="74">
        <v>7</v>
      </c>
      <c r="K196" s="79"/>
      <c r="L196" s="115"/>
      <c r="M196" s="115"/>
      <c r="N196" s="115"/>
      <c r="O196" s="115"/>
    </row>
    <row r="197" spans="1:15" ht="18.75" customHeight="1" thickBot="1" x14ac:dyDescent="0.25">
      <c r="A197" s="238"/>
      <c r="B197" s="210"/>
      <c r="C197" s="80"/>
      <c r="D197" s="81" t="s">
        <v>7</v>
      </c>
      <c r="E197" s="82"/>
      <c r="F197" s="83">
        <v>7</v>
      </c>
      <c r="G197" s="213"/>
      <c r="H197" s="84"/>
      <c r="I197" s="85" t="s">
        <v>10</v>
      </c>
      <c r="J197" s="83">
        <v>7</v>
      </c>
      <c r="K197" s="86"/>
      <c r="L197" s="115"/>
      <c r="M197" s="115"/>
      <c r="N197" s="115"/>
      <c r="O197" s="115"/>
    </row>
    <row r="198" spans="1:15" ht="18" customHeight="1" x14ac:dyDescent="0.2">
      <c r="A198" s="237">
        <v>45337</v>
      </c>
      <c r="B198" s="214" t="s">
        <v>16</v>
      </c>
      <c r="C198" s="87"/>
      <c r="D198" s="87" t="s">
        <v>7</v>
      </c>
      <c r="E198" s="88"/>
      <c r="F198" s="89">
        <v>7</v>
      </c>
      <c r="G198" s="217" t="s">
        <v>16</v>
      </c>
      <c r="H198" s="90"/>
      <c r="I198" s="90" t="s">
        <v>10</v>
      </c>
      <c r="J198" s="89">
        <v>0</v>
      </c>
      <c r="K198" s="91"/>
      <c r="L198" s="115"/>
      <c r="M198" s="115"/>
      <c r="N198" s="115"/>
      <c r="O198" s="115"/>
    </row>
    <row r="199" spans="1:15" ht="18" customHeight="1" x14ac:dyDescent="0.2">
      <c r="A199" s="238"/>
      <c r="B199" s="215"/>
      <c r="C199" s="92"/>
      <c r="D199" s="93" t="s">
        <v>7</v>
      </c>
      <c r="E199" s="94"/>
      <c r="F199" s="95">
        <v>7</v>
      </c>
      <c r="G199" s="218"/>
      <c r="H199" s="96"/>
      <c r="I199" s="97" t="s">
        <v>10</v>
      </c>
      <c r="J199" s="95">
        <v>7</v>
      </c>
      <c r="K199" s="98"/>
      <c r="L199" s="115"/>
      <c r="M199" s="115"/>
      <c r="N199" s="115"/>
      <c r="O199" s="115"/>
    </row>
    <row r="200" spans="1:15" ht="18" customHeight="1" x14ac:dyDescent="0.2">
      <c r="A200" s="238"/>
      <c r="B200" s="215"/>
      <c r="C200" s="92"/>
      <c r="D200" s="93" t="s">
        <v>7</v>
      </c>
      <c r="E200" s="94"/>
      <c r="F200" s="95">
        <v>7</v>
      </c>
      <c r="G200" s="218"/>
      <c r="H200" s="96"/>
      <c r="I200" s="97" t="s">
        <v>10</v>
      </c>
      <c r="J200" s="95">
        <v>7</v>
      </c>
      <c r="K200" s="98"/>
      <c r="L200" s="115"/>
      <c r="M200" s="115"/>
      <c r="N200" s="115"/>
      <c r="O200" s="115"/>
    </row>
    <row r="201" spans="1:15" ht="18.75" customHeight="1" thickBot="1" x14ac:dyDescent="0.25">
      <c r="A201" s="238"/>
      <c r="B201" s="216"/>
      <c r="C201" s="99"/>
      <c r="D201" s="100" t="s">
        <v>7</v>
      </c>
      <c r="E201" s="101"/>
      <c r="F201" s="102">
        <v>7</v>
      </c>
      <c r="G201" s="219"/>
      <c r="H201" s="103"/>
      <c r="I201" s="104" t="s">
        <v>10</v>
      </c>
      <c r="J201" s="102">
        <v>7</v>
      </c>
      <c r="K201" s="105"/>
      <c r="L201" s="115"/>
      <c r="M201" s="115"/>
      <c r="N201" s="115"/>
      <c r="O201" s="115"/>
    </row>
    <row r="202" spans="1:15" ht="23.25" x14ac:dyDescent="0.35">
      <c r="A202" s="118"/>
      <c r="B202" s="106"/>
      <c r="C202" s="107"/>
      <c r="D202" s="194" t="s">
        <v>20</v>
      </c>
      <c r="E202" s="195"/>
      <c r="F202" s="108">
        <f>SUM(F178:F201)</f>
        <v>168</v>
      </c>
      <c r="G202" s="107"/>
      <c r="H202" s="185" t="s">
        <v>20</v>
      </c>
      <c r="I202" s="186"/>
      <c r="J202" s="108">
        <f>SUM(J178:J201)</f>
        <v>161</v>
      </c>
      <c r="K202" s="109"/>
      <c r="L202" s="115"/>
      <c r="M202" s="115"/>
      <c r="N202" s="115"/>
      <c r="O202" s="115"/>
    </row>
    <row r="203" spans="1:15" ht="24" thickBot="1" x14ac:dyDescent="0.4">
      <c r="A203" s="119"/>
      <c r="B203" s="110"/>
      <c r="C203" s="111"/>
      <c r="D203" s="187" t="s">
        <v>21</v>
      </c>
      <c r="E203" s="188"/>
      <c r="F203" s="112">
        <f>F202/240*1</f>
        <v>0.7</v>
      </c>
      <c r="G203" s="111"/>
      <c r="H203" s="189" t="s">
        <v>22</v>
      </c>
      <c r="I203" s="190"/>
      <c r="J203" s="113">
        <f>J202/240*1</f>
        <v>0.67083333333333328</v>
      </c>
      <c r="K203" s="114"/>
      <c r="L203" s="115"/>
      <c r="M203" s="115"/>
      <c r="N203" s="115"/>
      <c r="O203" s="115"/>
    </row>
    <row r="204" spans="1:15" ht="24" thickBot="1" x14ac:dyDescent="0.4">
      <c r="A204" s="120">
        <v>8</v>
      </c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</row>
    <row r="205" spans="1:15" ht="21" thickBot="1" x14ac:dyDescent="0.35">
      <c r="A205" s="244" t="s">
        <v>25</v>
      </c>
      <c r="B205" s="191" t="s">
        <v>0</v>
      </c>
      <c r="C205" s="192"/>
      <c r="D205" s="192"/>
      <c r="E205" s="192"/>
      <c r="F205" s="192"/>
      <c r="G205" s="192"/>
      <c r="H205" s="192"/>
      <c r="I205" s="192"/>
      <c r="J205" s="192"/>
      <c r="K205" s="193"/>
      <c r="L205" s="115"/>
      <c r="M205" s="115"/>
      <c r="N205" s="115"/>
      <c r="O205" s="115"/>
    </row>
    <row r="206" spans="1:15" ht="21" thickBot="1" x14ac:dyDescent="0.35">
      <c r="A206" s="245"/>
      <c r="B206" s="196" t="s">
        <v>17</v>
      </c>
      <c r="C206" s="197"/>
      <c r="D206" s="197"/>
      <c r="E206" s="197"/>
      <c r="F206" s="198"/>
      <c r="G206" s="199" t="s">
        <v>1</v>
      </c>
      <c r="H206" s="200"/>
      <c r="I206" s="200"/>
      <c r="J206" s="200"/>
      <c r="K206" s="201"/>
      <c r="L206" s="115"/>
      <c r="M206" s="115"/>
      <c r="N206" s="115"/>
      <c r="O206" s="115"/>
    </row>
    <row r="207" spans="1:15" ht="41.25" thickBot="1" x14ac:dyDescent="0.25">
      <c r="A207" s="246"/>
      <c r="B207" s="2" t="s">
        <v>2</v>
      </c>
      <c r="C207" s="3" t="s">
        <v>6</v>
      </c>
      <c r="D207" s="3" t="s">
        <v>7</v>
      </c>
      <c r="E207" s="3" t="s">
        <v>8</v>
      </c>
      <c r="F207" s="4" t="s">
        <v>19</v>
      </c>
      <c r="G207" s="5" t="s">
        <v>2</v>
      </c>
      <c r="H207" s="6" t="s">
        <v>3</v>
      </c>
      <c r="I207" s="6" t="s">
        <v>4</v>
      </c>
      <c r="J207" s="7" t="s">
        <v>18</v>
      </c>
      <c r="K207" s="8" t="s">
        <v>5</v>
      </c>
      <c r="L207" s="115"/>
      <c r="M207" s="115"/>
      <c r="N207" s="115"/>
      <c r="O207" s="115"/>
    </row>
    <row r="208" spans="1:15" ht="18" x14ac:dyDescent="0.2">
      <c r="A208" s="237">
        <v>45339</v>
      </c>
      <c r="B208" s="220" t="s">
        <v>9</v>
      </c>
      <c r="C208" s="9"/>
      <c r="D208" s="9" t="s">
        <v>7</v>
      </c>
      <c r="E208" s="10"/>
      <c r="F208" s="11">
        <v>7</v>
      </c>
      <c r="G208" s="223" t="s">
        <v>9</v>
      </c>
      <c r="H208" s="12"/>
      <c r="I208" s="12" t="s">
        <v>10</v>
      </c>
      <c r="J208" s="11">
        <v>7</v>
      </c>
      <c r="K208" s="13"/>
      <c r="L208" s="115"/>
      <c r="M208" s="115"/>
      <c r="N208" s="115"/>
      <c r="O208" s="115"/>
    </row>
    <row r="209" spans="1:15" ht="18" x14ac:dyDescent="0.2">
      <c r="A209" s="238"/>
      <c r="B209" s="221"/>
      <c r="C209" s="14"/>
      <c r="D209" s="9" t="s">
        <v>7</v>
      </c>
      <c r="E209" s="10"/>
      <c r="F209" s="11">
        <v>7</v>
      </c>
      <c r="G209" s="224"/>
      <c r="H209" s="15"/>
      <c r="I209" s="16" t="s">
        <v>10</v>
      </c>
      <c r="J209" s="11">
        <v>7</v>
      </c>
      <c r="K209" s="17"/>
      <c r="L209" s="115"/>
      <c r="M209" s="115"/>
      <c r="N209" s="115"/>
      <c r="O209" s="115"/>
    </row>
    <row r="210" spans="1:15" ht="18" x14ac:dyDescent="0.2">
      <c r="A210" s="238"/>
      <c r="B210" s="221"/>
      <c r="C210" s="14"/>
      <c r="D210" s="9" t="s">
        <v>7</v>
      </c>
      <c r="E210" s="10"/>
      <c r="F210" s="11">
        <v>7</v>
      </c>
      <c r="G210" s="224"/>
      <c r="H210" s="15"/>
      <c r="I210" s="16" t="s">
        <v>10</v>
      </c>
      <c r="J210" s="11">
        <v>7</v>
      </c>
      <c r="K210" s="17"/>
      <c r="L210" s="115"/>
      <c r="M210" s="115"/>
      <c r="N210" s="115"/>
      <c r="O210" s="115"/>
    </row>
    <row r="211" spans="1:15" ht="18.75" thickBot="1" x14ac:dyDescent="0.25">
      <c r="A211" s="238"/>
      <c r="B211" s="222"/>
      <c r="C211" s="18"/>
      <c r="D211" s="19" t="s">
        <v>7</v>
      </c>
      <c r="E211" s="20"/>
      <c r="F211" s="21">
        <v>7</v>
      </c>
      <c r="G211" s="225"/>
      <c r="H211" s="22"/>
      <c r="I211" s="23" t="s">
        <v>10</v>
      </c>
      <c r="J211" s="21">
        <v>7</v>
      </c>
      <c r="K211" s="24"/>
      <c r="L211" s="115"/>
      <c r="M211" s="115"/>
      <c r="N211" s="115"/>
      <c r="O211" s="115"/>
    </row>
    <row r="212" spans="1:15" ht="18" customHeight="1" x14ac:dyDescent="0.2">
      <c r="A212" s="237">
        <v>45340</v>
      </c>
      <c r="B212" s="226" t="s">
        <v>12</v>
      </c>
      <c r="C212" s="25"/>
      <c r="D212" s="25" t="s">
        <v>7</v>
      </c>
      <c r="E212" s="26"/>
      <c r="F212" s="27">
        <v>7</v>
      </c>
      <c r="G212" s="229" t="s">
        <v>12</v>
      </c>
      <c r="H212" s="28"/>
      <c r="I212" s="28" t="s">
        <v>10</v>
      </c>
      <c r="J212" s="27">
        <v>7</v>
      </c>
      <c r="K212" s="29"/>
      <c r="L212" s="115"/>
      <c r="M212" s="115"/>
      <c r="N212" s="115"/>
      <c r="O212" s="115"/>
    </row>
    <row r="213" spans="1:15" ht="18" customHeight="1" x14ac:dyDescent="0.2">
      <c r="A213" s="238"/>
      <c r="B213" s="227"/>
      <c r="C213" s="30"/>
      <c r="D213" s="31" t="s">
        <v>7</v>
      </c>
      <c r="E213" s="32"/>
      <c r="F213" s="33">
        <v>7</v>
      </c>
      <c r="G213" s="230"/>
      <c r="H213" s="34"/>
      <c r="I213" s="35" t="s">
        <v>10</v>
      </c>
      <c r="J213" s="33">
        <v>7</v>
      </c>
      <c r="K213" s="36"/>
      <c r="L213" s="115"/>
      <c r="M213" s="115"/>
      <c r="N213" s="115"/>
      <c r="O213" s="115"/>
    </row>
    <row r="214" spans="1:15" ht="18" customHeight="1" x14ac:dyDescent="0.2">
      <c r="A214" s="238"/>
      <c r="B214" s="227"/>
      <c r="C214" s="30"/>
      <c r="D214" s="31" t="s">
        <v>7</v>
      </c>
      <c r="E214" s="32"/>
      <c r="F214" s="33">
        <v>7</v>
      </c>
      <c r="G214" s="230"/>
      <c r="H214" s="34"/>
      <c r="I214" s="35" t="s">
        <v>10</v>
      </c>
      <c r="J214" s="33">
        <v>7</v>
      </c>
      <c r="K214" s="36"/>
      <c r="L214" s="115"/>
      <c r="M214" s="115"/>
      <c r="N214" s="115"/>
      <c r="O214" s="115"/>
    </row>
    <row r="215" spans="1:15" ht="18.75" customHeight="1" thickBot="1" x14ac:dyDescent="0.25">
      <c r="A215" s="238"/>
      <c r="B215" s="228"/>
      <c r="C215" s="37"/>
      <c r="D215" s="38" t="s">
        <v>7</v>
      </c>
      <c r="E215" s="39"/>
      <c r="F215" s="40">
        <v>7</v>
      </c>
      <c r="G215" s="231"/>
      <c r="H215" s="41"/>
      <c r="I215" s="42" t="s">
        <v>10</v>
      </c>
      <c r="J215" s="40">
        <v>7</v>
      </c>
      <c r="K215" s="43"/>
      <c r="L215" s="115"/>
      <c r="M215" s="115"/>
      <c r="N215" s="115"/>
      <c r="O215" s="115"/>
    </row>
    <row r="216" spans="1:15" ht="18" customHeight="1" x14ac:dyDescent="0.2">
      <c r="A216" s="237">
        <v>45341</v>
      </c>
      <c r="B216" s="232" t="s">
        <v>13</v>
      </c>
      <c r="C216" s="44"/>
      <c r="D216" s="44" t="s">
        <v>7</v>
      </c>
      <c r="E216" s="45"/>
      <c r="F216" s="46">
        <v>7</v>
      </c>
      <c r="G216" s="185" t="s">
        <v>13</v>
      </c>
      <c r="H216" s="47"/>
      <c r="I216" s="47" t="s">
        <v>10</v>
      </c>
      <c r="J216" s="46">
        <v>7</v>
      </c>
      <c r="K216" s="48"/>
      <c r="L216" s="115"/>
      <c r="M216" s="115"/>
      <c r="N216" s="115"/>
      <c r="O216" s="115"/>
    </row>
    <row r="217" spans="1:15" ht="18" customHeight="1" x14ac:dyDescent="0.2">
      <c r="A217" s="238"/>
      <c r="B217" s="233"/>
      <c r="C217" s="49"/>
      <c r="D217" s="44" t="s">
        <v>7</v>
      </c>
      <c r="E217" s="45"/>
      <c r="F217" s="46">
        <v>7</v>
      </c>
      <c r="G217" s="235"/>
      <c r="H217" s="50"/>
      <c r="I217" s="51" t="s">
        <v>10</v>
      </c>
      <c r="J217" s="46">
        <v>7</v>
      </c>
      <c r="K217" s="52"/>
      <c r="L217" s="115"/>
      <c r="M217" s="115"/>
      <c r="N217" s="115"/>
      <c r="O217" s="115"/>
    </row>
    <row r="218" spans="1:15" ht="18" customHeight="1" x14ac:dyDescent="0.2">
      <c r="A218" s="238"/>
      <c r="B218" s="233"/>
      <c r="C218" s="49"/>
      <c r="D218" s="44" t="s">
        <v>7</v>
      </c>
      <c r="E218" s="45"/>
      <c r="F218" s="46">
        <v>7</v>
      </c>
      <c r="G218" s="235"/>
      <c r="H218" s="50"/>
      <c r="I218" s="51" t="s">
        <v>10</v>
      </c>
      <c r="J218" s="46">
        <v>7</v>
      </c>
      <c r="K218" s="52"/>
      <c r="L218" s="115"/>
      <c r="M218" s="115"/>
      <c r="N218" s="115"/>
      <c r="O218" s="115"/>
    </row>
    <row r="219" spans="1:15" ht="18.75" customHeight="1" thickBot="1" x14ac:dyDescent="0.25">
      <c r="A219" s="238"/>
      <c r="B219" s="234"/>
      <c r="C219" s="53"/>
      <c r="D219" s="54" t="s">
        <v>7</v>
      </c>
      <c r="E219" s="55"/>
      <c r="F219" s="56">
        <v>7</v>
      </c>
      <c r="G219" s="236"/>
      <c r="H219" s="57"/>
      <c r="I219" s="58" t="s">
        <v>10</v>
      </c>
      <c r="J219" s="56">
        <v>7</v>
      </c>
      <c r="K219" s="59"/>
      <c r="L219" s="115"/>
      <c r="M219" s="115"/>
      <c r="N219" s="115"/>
      <c r="O219" s="115"/>
    </row>
    <row r="220" spans="1:15" ht="18" customHeight="1" x14ac:dyDescent="0.2">
      <c r="A220" s="237">
        <v>45342</v>
      </c>
      <c r="B220" s="202" t="s">
        <v>14</v>
      </c>
      <c r="C220" s="60"/>
      <c r="D220" s="60" t="s">
        <v>7</v>
      </c>
      <c r="E220" s="61"/>
      <c r="F220" s="62">
        <v>7</v>
      </c>
      <c r="G220" s="205" t="s">
        <v>14</v>
      </c>
      <c r="H220" s="44"/>
      <c r="I220" s="44" t="s">
        <v>10</v>
      </c>
      <c r="J220" s="62">
        <v>7</v>
      </c>
      <c r="K220" s="45"/>
      <c r="L220" s="115"/>
      <c r="M220" s="115"/>
      <c r="N220" s="115"/>
      <c r="O220" s="115"/>
    </row>
    <row r="221" spans="1:15" ht="18" customHeight="1" x14ac:dyDescent="0.2">
      <c r="A221" s="238"/>
      <c r="B221" s="203"/>
      <c r="C221" s="63"/>
      <c r="D221" s="64" t="s">
        <v>7</v>
      </c>
      <c r="E221" s="65"/>
      <c r="F221" s="66">
        <v>7</v>
      </c>
      <c r="G221" s="206"/>
      <c r="H221" s="49"/>
      <c r="I221" s="44" t="s">
        <v>10</v>
      </c>
      <c r="J221" s="66">
        <v>7</v>
      </c>
      <c r="K221" s="67"/>
      <c r="L221" s="115"/>
      <c r="M221" s="115"/>
      <c r="N221" s="115"/>
      <c r="O221" s="115"/>
    </row>
    <row r="222" spans="1:15" ht="18" customHeight="1" x14ac:dyDescent="0.2">
      <c r="A222" s="238"/>
      <c r="B222" s="203"/>
      <c r="C222" s="63"/>
      <c r="D222" s="64" t="s">
        <v>7</v>
      </c>
      <c r="E222" s="65"/>
      <c r="F222" s="66">
        <v>7</v>
      </c>
      <c r="G222" s="206"/>
      <c r="H222" s="49"/>
      <c r="I222" s="44" t="s">
        <v>10</v>
      </c>
      <c r="J222" s="66">
        <v>7</v>
      </c>
      <c r="K222" s="67"/>
      <c r="L222" s="115"/>
      <c r="M222" s="115"/>
      <c r="N222" s="115"/>
      <c r="O222" s="115"/>
    </row>
    <row r="223" spans="1:15" ht="18.75" customHeight="1" thickBot="1" x14ac:dyDescent="0.25">
      <c r="A223" s="238"/>
      <c r="B223" s="204"/>
      <c r="C223" s="68"/>
      <c r="D223" s="69" t="s">
        <v>7</v>
      </c>
      <c r="E223" s="70"/>
      <c r="F223" s="71">
        <v>7</v>
      </c>
      <c r="G223" s="207"/>
      <c r="H223" s="53"/>
      <c r="I223" s="54" t="s">
        <v>10</v>
      </c>
      <c r="J223" s="71">
        <v>7</v>
      </c>
      <c r="K223" s="72"/>
      <c r="L223" s="115"/>
      <c r="M223" s="115"/>
      <c r="N223" s="115"/>
      <c r="O223" s="115"/>
    </row>
    <row r="224" spans="1:15" ht="18" customHeight="1" x14ac:dyDescent="0.2">
      <c r="A224" s="237">
        <v>45343</v>
      </c>
      <c r="B224" s="208" t="s">
        <v>15</v>
      </c>
      <c r="C224" s="16"/>
      <c r="D224" s="16" t="s">
        <v>7</v>
      </c>
      <c r="E224" s="73"/>
      <c r="F224" s="74">
        <v>7</v>
      </c>
      <c r="G224" s="211" t="s">
        <v>15</v>
      </c>
      <c r="H224" s="75"/>
      <c r="I224" s="75" t="s">
        <v>10</v>
      </c>
      <c r="J224" s="74">
        <v>7</v>
      </c>
      <c r="K224" s="76"/>
      <c r="L224" s="115"/>
      <c r="M224" s="115"/>
      <c r="N224" s="115"/>
      <c r="O224" s="115"/>
    </row>
    <row r="225" spans="1:15" ht="18" customHeight="1" x14ac:dyDescent="0.2">
      <c r="A225" s="238"/>
      <c r="B225" s="209"/>
      <c r="C225" s="15"/>
      <c r="D225" s="16" t="s">
        <v>7</v>
      </c>
      <c r="E225" s="73"/>
      <c r="F225" s="74">
        <v>7</v>
      </c>
      <c r="G225" s="212"/>
      <c r="H225" s="77"/>
      <c r="I225" s="78" t="s">
        <v>10</v>
      </c>
      <c r="J225" s="74">
        <v>7</v>
      </c>
      <c r="K225" s="79"/>
      <c r="L225" s="115"/>
      <c r="M225" s="115"/>
      <c r="N225" s="115"/>
      <c r="O225" s="115"/>
    </row>
    <row r="226" spans="1:15" ht="18" customHeight="1" x14ac:dyDescent="0.2">
      <c r="A226" s="238"/>
      <c r="B226" s="209"/>
      <c r="C226" s="15"/>
      <c r="D226" s="16" t="s">
        <v>7</v>
      </c>
      <c r="E226" s="73"/>
      <c r="F226" s="74">
        <v>7</v>
      </c>
      <c r="G226" s="212"/>
      <c r="H226" s="77"/>
      <c r="I226" s="78" t="s">
        <v>10</v>
      </c>
      <c r="J226" s="74">
        <v>7</v>
      </c>
      <c r="K226" s="79"/>
      <c r="L226" s="115"/>
      <c r="M226" s="115"/>
      <c r="N226" s="115"/>
      <c r="O226" s="115"/>
    </row>
    <row r="227" spans="1:15" ht="18.75" customHeight="1" thickBot="1" x14ac:dyDescent="0.25">
      <c r="A227" s="238"/>
      <c r="B227" s="210"/>
      <c r="C227" s="80"/>
      <c r="D227" s="81" t="s">
        <v>7</v>
      </c>
      <c r="E227" s="82"/>
      <c r="F227" s="83">
        <v>7</v>
      </c>
      <c r="G227" s="213"/>
      <c r="H227" s="84"/>
      <c r="I227" s="85" t="s">
        <v>10</v>
      </c>
      <c r="J227" s="83">
        <v>7</v>
      </c>
      <c r="K227" s="86"/>
      <c r="L227" s="115"/>
      <c r="M227" s="115"/>
      <c r="N227" s="115"/>
      <c r="O227" s="115"/>
    </row>
    <row r="228" spans="1:15" ht="18" customHeight="1" x14ac:dyDescent="0.2">
      <c r="A228" s="237">
        <v>45344</v>
      </c>
      <c r="B228" s="214" t="s">
        <v>16</v>
      </c>
      <c r="C228" s="87"/>
      <c r="D228" s="87" t="s">
        <v>7</v>
      </c>
      <c r="E228" s="88"/>
      <c r="F228" s="89">
        <v>7</v>
      </c>
      <c r="G228" s="217" t="s">
        <v>16</v>
      </c>
      <c r="H228" s="90"/>
      <c r="I228" s="90" t="s">
        <v>10</v>
      </c>
      <c r="J228" s="89">
        <v>0</v>
      </c>
      <c r="K228" s="91"/>
      <c r="L228" s="115"/>
      <c r="M228" s="115"/>
      <c r="N228" s="115"/>
      <c r="O228" s="115"/>
    </row>
    <row r="229" spans="1:15" ht="18" customHeight="1" x14ac:dyDescent="0.2">
      <c r="A229" s="238"/>
      <c r="B229" s="215"/>
      <c r="C229" s="92"/>
      <c r="D229" s="93" t="s">
        <v>7</v>
      </c>
      <c r="E229" s="94"/>
      <c r="F229" s="95">
        <v>7</v>
      </c>
      <c r="G229" s="218"/>
      <c r="H229" s="96"/>
      <c r="I229" s="97" t="s">
        <v>10</v>
      </c>
      <c r="J229" s="95">
        <v>7</v>
      </c>
      <c r="K229" s="98"/>
      <c r="L229" s="115"/>
      <c r="M229" s="115"/>
      <c r="N229" s="115"/>
      <c r="O229" s="115"/>
    </row>
    <row r="230" spans="1:15" ht="18" customHeight="1" x14ac:dyDescent="0.2">
      <c r="A230" s="238"/>
      <c r="B230" s="215"/>
      <c r="C230" s="92"/>
      <c r="D230" s="93" t="s">
        <v>7</v>
      </c>
      <c r="E230" s="94"/>
      <c r="F230" s="95">
        <v>7</v>
      </c>
      <c r="G230" s="218"/>
      <c r="H230" s="96"/>
      <c r="I230" s="97" t="s">
        <v>10</v>
      </c>
      <c r="J230" s="95">
        <v>7</v>
      </c>
      <c r="K230" s="98"/>
      <c r="L230" s="115"/>
      <c r="M230" s="115"/>
      <c r="N230" s="115"/>
      <c r="O230" s="115"/>
    </row>
    <row r="231" spans="1:15" ht="18.75" customHeight="1" thickBot="1" x14ac:dyDescent="0.25">
      <c r="A231" s="238"/>
      <c r="B231" s="216"/>
      <c r="C231" s="99"/>
      <c r="D231" s="100" t="s">
        <v>7</v>
      </c>
      <c r="E231" s="101"/>
      <c r="F231" s="102">
        <v>7</v>
      </c>
      <c r="G231" s="219"/>
      <c r="H231" s="103"/>
      <c r="I231" s="104" t="s">
        <v>10</v>
      </c>
      <c r="J231" s="102">
        <v>7</v>
      </c>
      <c r="K231" s="105"/>
      <c r="L231" s="115"/>
      <c r="M231" s="115"/>
      <c r="N231" s="115"/>
      <c r="O231" s="115"/>
    </row>
    <row r="232" spans="1:15" ht="23.25" x14ac:dyDescent="0.35">
      <c r="A232" s="118"/>
      <c r="B232" s="106"/>
      <c r="C232" s="107"/>
      <c r="D232" s="194" t="s">
        <v>20</v>
      </c>
      <c r="E232" s="195"/>
      <c r="F232" s="108">
        <f>SUM(F208:F231)</f>
        <v>168</v>
      </c>
      <c r="G232" s="107"/>
      <c r="H232" s="185" t="s">
        <v>20</v>
      </c>
      <c r="I232" s="186"/>
      <c r="J232" s="108">
        <f>SUM(J208:J231)</f>
        <v>161</v>
      </c>
      <c r="K232" s="109"/>
      <c r="L232" s="115"/>
      <c r="M232" s="115"/>
      <c r="N232" s="115"/>
      <c r="O232" s="115"/>
    </row>
    <row r="233" spans="1:15" ht="24" thickBot="1" x14ac:dyDescent="0.4">
      <c r="A233" s="119"/>
      <c r="B233" s="110"/>
      <c r="C233" s="111"/>
      <c r="D233" s="187" t="s">
        <v>21</v>
      </c>
      <c r="E233" s="188"/>
      <c r="F233" s="112">
        <f>F232/240*1</f>
        <v>0.7</v>
      </c>
      <c r="G233" s="111"/>
      <c r="H233" s="189" t="s">
        <v>22</v>
      </c>
      <c r="I233" s="190"/>
      <c r="J233" s="113">
        <f>J232/240*1</f>
        <v>0.67083333333333328</v>
      </c>
      <c r="K233" s="114"/>
      <c r="L233" s="115"/>
      <c r="M233" s="115"/>
      <c r="N233" s="115"/>
      <c r="O233" s="115"/>
    </row>
    <row r="234" spans="1:15" ht="24" thickBot="1" x14ac:dyDescent="0.4">
      <c r="A234" s="120">
        <v>9</v>
      </c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</row>
    <row r="235" spans="1:15" ht="21" thickBot="1" x14ac:dyDescent="0.35">
      <c r="A235" s="244" t="s">
        <v>25</v>
      </c>
      <c r="B235" s="191" t="s">
        <v>0</v>
      </c>
      <c r="C235" s="192"/>
      <c r="D235" s="192"/>
      <c r="E235" s="192"/>
      <c r="F235" s="192"/>
      <c r="G235" s="192"/>
      <c r="H235" s="192"/>
      <c r="I235" s="192"/>
      <c r="J235" s="192"/>
      <c r="K235" s="193"/>
      <c r="L235" s="115"/>
      <c r="M235" s="115"/>
      <c r="N235" s="115"/>
      <c r="O235" s="115"/>
    </row>
    <row r="236" spans="1:15" ht="21" thickBot="1" x14ac:dyDescent="0.35">
      <c r="A236" s="245"/>
      <c r="B236" s="196" t="s">
        <v>17</v>
      </c>
      <c r="C236" s="197"/>
      <c r="D236" s="197"/>
      <c r="E236" s="197"/>
      <c r="F236" s="198"/>
      <c r="G236" s="199" t="s">
        <v>1</v>
      </c>
      <c r="H236" s="200"/>
      <c r="I236" s="200"/>
      <c r="J236" s="200"/>
      <c r="K236" s="201"/>
      <c r="L236" s="115"/>
      <c r="M236" s="115"/>
      <c r="N236" s="115"/>
      <c r="O236" s="115"/>
    </row>
    <row r="237" spans="1:15" ht="41.25" thickBot="1" x14ac:dyDescent="0.25">
      <c r="A237" s="246"/>
      <c r="B237" s="2" t="s">
        <v>2</v>
      </c>
      <c r="C237" s="3" t="s">
        <v>6</v>
      </c>
      <c r="D237" s="3" t="s">
        <v>7</v>
      </c>
      <c r="E237" s="3" t="s">
        <v>8</v>
      </c>
      <c r="F237" s="4" t="s">
        <v>19</v>
      </c>
      <c r="G237" s="5" t="s">
        <v>2</v>
      </c>
      <c r="H237" s="6" t="s">
        <v>3</v>
      </c>
      <c r="I237" s="6" t="s">
        <v>4</v>
      </c>
      <c r="J237" s="7" t="s">
        <v>18</v>
      </c>
      <c r="K237" s="8" t="s">
        <v>5</v>
      </c>
      <c r="L237" s="115"/>
      <c r="M237" s="115"/>
      <c r="N237" s="115"/>
      <c r="O237" s="115"/>
    </row>
    <row r="238" spans="1:15" ht="18" x14ac:dyDescent="0.2">
      <c r="A238" s="237">
        <v>45346</v>
      </c>
      <c r="B238" s="220" t="s">
        <v>9</v>
      </c>
      <c r="C238" s="9"/>
      <c r="D238" s="9" t="s">
        <v>7</v>
      </c>
      <c r="E238" s="10"/>
      <c r="F238" s="11">
        <v>7</v>
      </c>
      <c r="G238" s="223" t="s">
        <v>9</v>
      </c>
      <c r="H238" s="12"/>
      <c r="I238" s="12" t="s">
        <v>10</v>
      </c>
      <c r="J238" s="11">
        <v>7</v>
      </c>
      <c r="K238" s="13"/>
      <c r="L238" s="115"/>
      <c r="M238" s="115"/>
      <c r="N238" s="115"/>
      <c r="O238" s="115"/>
    </row>
    <row r="239" spans="1:15" ht="18" x14ac:dyDescent="0.2">
      <c r="A239" s="238"/>
      <c r="B239" s="221"/>
      <c r="C239" s="14"/>
      <c r="D239" s="9" t="s">
        <v>7</v>
      </c>
      <c r="E239" s="10"/>
      <c r="F239" s="11">
        <v>7</v>
      </c>
      <c r="G239" s="224"/>
      <c r="H239" s="15"/>
      <c r="I239" s="16" t="s">
        <v>10</v>
      </c>
      <c r="J239" s="11">
        <v>7</v>
      </c>
      <c r="K239" s="17"/>
      <c r="L239" s="115"/>
      <c r="M239" s="115"/>
      <c r="N239" s="115"/>
      <c r="O239" s="115"/>
    </row>
    <row r="240" spans="1:15" ht="18" x14ac:dyDescent="0.2">
      <c r="A240" s="238"/>
      <c r="B240" s="221"/>
      <c r="C240" s="14"/>
      <c r="D240" s="9" t="s">
        <v>7</v>
      </c>
      <c r="E240" s="10"/>
      <c r="F240" s="11">
        <v>7</v>
      </c>
      <c r="G240" s="224"/>
      <c r="H240" s="15"/>
      <c r="I240" s="16" t="s">
        <v>10</v>
      </c>
      <c r="J240" s="11">
        <v>7</v>
      </c>
      <c r="K240" s="17"/>
      <c r="L240" s="115"/>
      <c r="M240" s="115"/>
      <c r="N240" s="115"/>
      <c r="O240" s="115"/>
    </row>
    <row r="241" spans="1:15" ht="18.75" thickBot="1" x14ac:dyDescent="0.25">
      <c r="A241" s="238"/>
      <c r="B241" s="222"/>
      <c r="C241" s="18"/>
      <c r="D241" s="19" t="s">
        <v>7</v>
      </c>
      <c r="E241" s="20"/>
      <c r="F241" s="21">
        <v>7</v>
      </c>
      <c r="G241" s="225"/>
      <c r="H241" s="22"/>
      <c r="I241" s="23" t="s">
        <v>10</v>
      </c>
      <c r="J241" s="21">
        <v>7</v>
      </c>
      <c r="K241" s="24"/>
      <c r="L241" s="115"/>
      <c r="M241" s="115"/>
      <c r="N241" s="115"/>
      <c r="O241" s="115"/>
    </row>
    <row r="242" spans="1:15" ht="18" customHeight="1" x14ac:dyDescent="0.2">
      <c r="A242" s="237">
        <v>45347</v>
      </c>
      <c r="B242" s="226" t="s">
        <v>12</v>
      </c>
      <c r="C242" s="25"/>
      <c r="D242" s="25" t="s">
        <v>7</v>
      </c>
      <c r="E242" s="26"/>
      <c r="F242" s="27">
        <v>7</v>
      </c>
      <c r="G242" s="229" t="s">
        <v>12</v>
      </c>
      <c r="H242" s="28"/>
      <c r="I242" s="28" t="s">
        <v>10</v>
      </c>
      <c r="J242" s="27">
        <v>7</v>
      </c>
      <c r="K242" s="29"/>
      <c r="L242" s="115"/>
      <c r="M242" s="115"/>
      <c r="N242" s="115"/>
      <c r="O242" s="115"/>
    </row>
    <row r="243" spans="1:15" ht="18" customHeight="1" x14ac:dyDescent="0.2">
      <c r="A243" s="238"/>
      <c r="B243" s="227"/>
      <c r="C243" s="30"/>
      <c r="D243" s="31" t="s">
        <v>7</v>
      </c>
      <c r="E243" s="32"/>
      <c r="F243" s="33">
        <v>7</v>
      </c>
      <c r="G243" s="230"/>
      <c r="H243" s="34"/>
      <c r="I243" s="35" t="s">
        <v>10</v>
      </c>
      <c r="J243" s="33">
        <v>7</v>
      </c>
      <c r="K243" s="36"/>
      <c r="L243" s="115"/>
      <c r="M243" s="115"/>
      <c r="N243" s="115"/>
      <c r="O243" s="115"/>
    </row>
    <row r="244" spans="1:15" ht="18" customHeight="1" x14ac:dyDescent="0.2">
      <c r="A244" s="238"/>
      <c r="B244" s="227"/>
      <c r="C244" s="30"/>
      <c r="D244" s="31" t="s">
        <v>7</v>
      </c>
      <c r="E244" s="32"/>
      <c r="F244" s="33">
        <v>7</v>
      </c>
      <c r="G244" s="230"/>
      <c r="H244" s="34"/>
      <c r="I244" s="35" t="s">
        <v>10</v>
      </c>
      <c r="J244" s="33">
        <v>7</v>
      </c>
      <c r="K244" s="36"/>
      <c r="L244" s="115"/>
      <c r="M244" s="115"/>
      <c r="N244" s="115"/>
      <c r="O244" s="115"/>
    </row>
    <row r="245" spans="1:15" ht="18.75" customHeight="1" thickBot="1" x14ac:dyDescent="0.25">
      <c r="A245" s="238"/>
      <c r="B245" s="228"/>
      <c r="C245" s="37"/>
      <c r="D245" s="38" t="s">
        <v>7</v>
      </c>
      <c r="E245" s="39"/>
      <c r="F245" s="40">
        <v>7</v>
      </c>
      <c r="G245" s="231"/>
      <c r="H245" s="41"/>
      <c r="I245" s="42" t="s">
        <v>10</v>
      </c>
      <c r="J245" s="40">
        <v>7</v>
      </c>
      <c r="K245" s="43"/>
      <c r="L245" s="115"/>
      <c r="M245" s="115"/>
      <c r="N245" s="115"/>
      <c r="O245" s="115"/>
    </row>
    <row r="246" spans="1:15" ht="18" customHeight="1" x14ac:dyDescent="0.2">
      <c r="A246" s="237">
        <v>45348</v>
      </c>
      <c r="B246" s="232" t="s">
        <v>13</v>
      </c>
      <c r="C246" s="44"/>
      <c r="D246" s="44" t="s">
        <v>7</v>
      </c>
      <c r="E246" s="45"/>
      <c r="F246" s="46">
        <v>7</v>
      </c>
      <c r="G246" s="185" t="s">
        <v>13</v>
      </c>
      <c r="H246" s="47"/>
      <c r="I246" s="47" t="s">
        <v>10</v>
      </c>
      <c r="J246" s="46">
        <v>7</v>
      </c>
      <c r="K246" s="48"/>
      <c r="L246" s="115"/>
      <c r="M246" s="115"/>
      <c r="N246" s="115"/>
      <c r="O246" s="115"/>
    </row>
    <row r="247" spans="1:15" ht="18" customHeight="1" x14ac:dyDescent="0.2">
      <c r="A247" s="238"/>
      <c r="B247" s="233"/>
      <c r="C247" s="49"/>
      <c r="D247" s="44" t="s">
        <v>7</v>
      </c>
      <c r="E247" s="45"/>
      <c r="F247" s="46">
        <v>7</v>
      </c>
      <c r="G247" s="235"/>
      <c r="H247" s="50"/>
      <c r="I247" s="51" t="s">
        <v>10</v>
      </c>
      <c r="J247" s="46">
        <v>7</v>
      </c>
      <c r="K247" s="52"/>
      <c r="L247" s="115"/>
      <c r="M247" s="115"/>
      <c r="N247" s="115"/>
      <c r="O247" s="115"/>
    </row>
    <row r="248" spans="1:15" ht="18" customHeight="1" x14ac:dyDescent="0.2">
      <c r="A248" s="238"/>
      <c r="B248" s="233"/>
      <c r="C248" s="49"/>
      <c r="D248" s="44" t="s">
        <v>7</v>
      </c>
      <c r="E248" s="45"/>
      <c r="F248" s="46">
        <v>7</v>
      </c>
      <c r="G248" s="235"/>
      <c r="H248" s="50"/>
      <c r="I248" s="51" t="s">
        <v>10</v>
      </c>
      <c r="J248" s="46">
        <v>7</v>
      </c>
      <c r="K248" s="52"/>
      <c r="L248" s="115"/>
      <c r="M248" s="115"/>
      <c r="N248" s="115"/>
      <c r="O248" s="115"/>
    </row>
    <row r="249" spans="1:15" ht="18.75" customHeight="1" thickBot="1" x14ac:dyDescent="0.25">
      <c r="A249" s="238"/>
      <c r="B249" s="234"/>
      <c r="C249" s="53"/>
      <c r="D249" s="54" t="s">
        <v>7</v>
      </c>
      <c r="E249" s="55"/>
      <c r="F249" s="56">
        <v>7</v>
      </c>
      <c r="G249" s="236"/>
      <c r="H249" s="57"/>
      <c r="I249" s="58" t="s">
        <v>10</v>
      </c>
      <c r="J249" s="56">
        <v>7</v>
      </c>
      <c r="K249" s="59"/>
      <c r="L249" s="115"/>
      <c r="M249" s="115"/>
      <c r="N249" s="115"/>
      <c r="O249" s="115"/>
    </row>
    <row r="250" spans="1:15" ht="18" customHeight="1" x14ac:dyDescent="0.2">
      <c r="A250" s="237">
        <v>45349</v>
      </c>
      <c r="B250" s="202" t="s">
        <v>14</v>
      </c>
      <c r="C250" s="60"/>
      <c r="D250" s="60" t="s">
        <v>7</v>
      </c>
      <c r="E250" s="61"/>
      <c r="F250" s="62">
        <v>7</v>
      </c>
      <c r="G250" s="205" t="s">
        <v>14</v>
      </c>
      <c r="H250" s="44"/>
      <c r="I250" s="44" t="s">
        <v>10</v>
      </c>
      <c r="J250" s="62">
        <v>7</v>
      </c>
      <c r="K250" s="45"/>
      <c r="L250" s="115"/>
      <c r="M250" s="115"/>
      <c r="N250" s="115"/>
      <c r="O250" s="115"/>
    </row>
    <row r="251" spans="1:15" ht="18" customHeight="1" x14ac:dyDescent="0.2">
      <c r="A251" s="238"/>
      <c r="B251" s="203"/>
      <c r="C251" s="63"/>
      <c r="D251" s="64" t="s">
        <v>7</v>
      </c>
      <c r="E251" s="65"/>
      <c r="F251" s="66">
        <v>7</v>
      </c>
      <c r="G251" s="206"/>
      <c r="H251" s="49"/>
      <c r="I251" s="44" t="s">
        <v>10</v>
      </c>
      <c r="J251" s="66">
        <v>7</v>
      </c>
      <c r="K251" s="67"/>
      <c r="L251" s="115"/>
      <c r="M251" s="115"/>
      <c r="N251" s="115"/>
      <c r="O251" s="115"/>
    </row>
    <row r="252" spans="1:15" ht="18" customHeight="1" x14ac:dyDescent="0.2">
      <c r="A252" s="238"/>
      <c r="B252" s="203"/>
      <c r="C252" s="63"/>
      <c r="D252" s="64" t="s">
        <v>7</v>
      </c>
      <c r="E252" s="65"/>
      <c r="F252" s="66">
        <v>7</v>
      </c>
      <c r="G252" s="206"/>
      <c r="H252" s="49"/>
      <c r="I252" s="44" t="s">
        <v>10</v>
      </c>
      <c r="J252" s="66">
        <v>7</v>
      </c>
      <c r="K252" s="67"/>
      <c r="L252" s="115"/>
      <c r="M252" s="115"/>
      <c r="N252" s="115"/>
      <c r="O252" s="115"/>
    </row>
    <row r="253" spans="1:15" ht="18.75" customHeight="1" thickBot="1" x14ac:dyDescent="0.25">
      <c r="A253" s="238"/>
      <c r="B253" s="204"/>
      <c r="C253" s="68"/>
      <c r="D253" s="69" t="s">
        <v>7</v>
      </c>
      <c r="E253" s="70"/>
      <c r="F253" s="71">
        <v>7</v>
      </c>
      <c r="G253" s="207"/>
      <c r="H253" s="53"/>
      <c r="I253" s="54" t="s">
        <v>10</v>
      </c>
      <c r="J253" s="71">
        <v>7</v>
      </c>
      <c r="K253" s="72"/>
      <c r="L253" s="115"/>
      <c r="M253" s="115"/>
      <c r="N253" s="115"/>
      <c r="O253" s="115"/>
    </row>
    <row r="254" spans="1:15" ht="18" customHeight="1" x14ac:dyDescent="0.2">
      <c r="A254" s="237">
        <v>45350</v>
      </c>
      <c r="B254" s="208" t="s">
        <v>15</v>
      </c>
      <c r="C254" s="16"/>
      <c r="D254" s="16" t="s">
        <v>7</v>
      </c>
      <c r="E254" s="73"/>
      <c r="F254" s="74">
        <v>7</v>
      </c>
      <c r="G254" s="211" t="s">
        <v>15</v>
      </c>
      <c r="H254" s="75"/>
      <c r="I254" s="75" t="s">
        <v>10</v>
      </c>
      <c r="J254" s="74">
        <v>7</v>
      </c>
      <c r="K254" s="76"/>
      <c r="L254" s="115"/>
      <c r="M254" s="115"/>
      <c r="N254" s="115"/>
      <c r="O254" s="115"/>
    </row>
    <row r="255" spans="1:15" ht="18" customHeight="1" x14ac:dyDescent="0.2">
      <c r="A255" s="238"/>
      <c r="B255" s="209"/>
      <c r="C255" s="15"/>
      <c r="D255" s="16" t="s">
        <v>7</v>
      </c>
      <c r="E255" s="73"/>
      <c r="F255" s="74">
        <v>7</v>
      </c>
      <c r="G255" s="212"/>
      <c r="H255" s="77"/>
      <c r="I255" s="78" t="s">
        <v>10</v>
      </c>
      <c r="J255" s="74">
        <v>7</v>
      </c>
      <c r="K255" s="79"/>
      <c r="L255" s="115"/>
      <c r="M255" s="115"/>
      <c r="N255" s="115"/>
      <c r="O255" s="115"/>
    </row>
    <row r="256" spans="1:15" ht="18" customHeight="1" x14ac:dyDescent="0.2">
      <c r="A256" s="238"/>
      <c r="B256" s="209"/>
      <c r="C256" s="15"/>
      <c r="D256" s="16" t="s">
        <v>7</v>
      </c>
      <c r="E256" s="73"/>
      <c r="F256" s="74">
        <v>7</v>
      </c>
      <c r="G256" s="212"/>
      <c r="H256" s="77"/>
      <c r="I256" s="78" t="s">
        <v>10</v>
      </c>
      <c r="J256" s="74">
        <v>7</v>
      </c>
      <c r="K256" s="79"/>
      <c r="L256" s="115"/>
      <c r="M256" s="115"/>
      <c r="N256" s="115"/>
      <c r="O256" s="115"/>
    </row>
    <row r="257" spans="1:15" ht="18.75" customHeight="1" thickBot="1" x14ac:dyDescent="0.25">
      <c r="A257" s="238"/>
      <c r="B257" s="210"/>
      <c r="C257" s="80"/>
      <c r="D257" s="81" t="s">
        <v>7</v>
      </c>
      <c r="E257" s="82"/>
      <c r="F257" s="83">
        <v>7</v>
      </c>
      <c r="G257" s="213"/>
      <c r="H257" s="84"/>
      <c r="I257" s="85" t="s">
        <v>10</v>
      </c>
      <c r="J257" s="83">
        <v>7</v>
      </c>
      <c r="K257" s="86"/>
      <c r="L257" s="115"/>
      <c r="M257" s="115"/>
      <c r="N257" s="115"/>
      <c r="O257" s="115"/>
    </row>
    <row r="258" spans="1:15" ht="18" customHeight="1" x14ac:dyDescent="0.2">
      <c r="A258" s="237">
        <v>45351</v>
      </c>
      <c r="B258" s="214" t="s">
        <v>16</v>
      </c>
      <c r="C258" s="87"/>
      <c r="D258" s="87" t="s">
        <v>7</v>
      </c>
      <c r="E258" s="88"/>
      <c r="F258" s="89">
        <v>7</v>
      </c>
      <c r="G258" s="217" t="s">
        <v>16</v>
      </c>
      <c r="H258" s="90"/>
      <c r="I258" s="90" t="s">
        <v>10</v>
      </c>
      <c r="J258" s="89">
        <v>0</v>
      </c>
      <c r="K258" s="91"/>
      <c r="L258" s="115"/>
      <c r="M258" s="115"/>
      <c r="N258" s="115"/>
      <c r="O258" s="115"/>
    </row>
    <row r="259" spans="1:15" ht="18" customHeight="1" x14ac:dyDescent="0.2">
      <c r="A259" s="238"/>
      <c r="B259" s="215"/>
      <c r="C259" s="92"/>
      <c r="D259" s="93" t="s">
        <v>7</v>
      </c>
      <c r="E259" s="94"/>
      <c r="F259" s="95">
        <v>7</v>
      </c>
      <c r="G259" s="218"/>
      <c r="H259" s="96"/>
      <c r="I259" s="97" t="s">
        <v>10</v>
      </c>
      <c r="J259" s="95">
        <v>7</v>
      </c>
      <c r="K259" s="98"/>
      <c r="L259" s="115"/>
      <c r="M259" s="115"/>
      <c r="N259" s="115"/>
      <c r="O259" s="115"/>
    </row>
    <row r="260" spans="1:15" ht="18" customHeight="1" x14ac:dyDescent="0.2">
      <c r="A260" s="238"/>
      <c r="B260" s="215"/>
      <c r="C260" s="92"/>
      <c r="D260" s="93" t="s">
        <v>7</v>
      </c>
      <c r="E260" s="94"/>
      <c r="F260" s="95">
        <v>7</v>
      </c>
      <c r="G260" s="218"/>
      <c r="H260" s="96"/>
      <c r="I260" s="97" t="s">
        <v>10</v>
      </c>
      <c r="J260" s="95">
        <v>7</v>
      </c>
      <c r="K260" s="98"/>
      <c r="L260" s="115"/>
      <c r="M260" s="115"/>
      <c r="N260" s="115"/>
      <c r="O260" s="115"/>
    </row>
    <row r="261" spans="1:15" ht="18.75" customHeight="1" thickBot="1" x14ac:dyDescent="0.25">
      <c r="A261" s="238"/>
      <c r="B261" s="216"/>
      <c r="C261" s="99"/>
      <c r="D261" s="100" t="s">
        <v>7</v>
      </c>
      <c r="E261" s="101"/>
      <c r="F261" s="102">
        <v>7</v>
      </c>
      <c r="G261" s="219"/>
      <c r="H261" s="103"/>
      <c r="I261" s="104" t="s">
        <v>10</v>
      </c>
      <c r="J261" s="102">
        <v>7</v>
      </c>
      <c r="K261" s="105"/>
      <c r="L261" s="115"/>
      <c r="M261" s="115"/>
      <c r="N261" s="115"/>
      <c r="O261" s="115"/>
    </row>
    <row r="262" spans="1:15" ht="23.25" x14ac:dyDescent="0.35">
      <c r="A262" s="118"/>
      <c r="B262" s="106"/>
      <c r="C262" s="107"/>
      <c r="D262" s="194" t="s">
        <v>20</v>
      </c>
      <c r="E262" s="195"/>
      <c r="F262" s="108">
        <f>SUM(F238:F261)</f>
        <v>168</v>
      </c>
      <c r="G262" s="107"/>
      <c r="H262" s="185" t="s">
        <v>20</v>
      </c>
      <c r="I262" s="186"/>
      <c r="J262" s="108">
        <f>SUM(J238:J261)</f>
        <v>161</v>
      </c>
      <c r="K262" s="109"/>
      <c r="L262" s="115"/>
      <c r="M262" s="115"/>
      <c r="N262" s="115"/>
      <c r="O262" s="115"/>
    </row>
    <row r="263" spans="1:15" ht="24" thickBot="1" x14ac:dyDescent="0.4">
      <c r="A263" s="119"/>
      <c r="B263" s="110"/>
      <c r="C263" s="111"/>
      <c r="D263" s="187" t="s">
        <v>21</v>
      </c>
      <c r="E263" s="188"/>
      <c r="F263" s="112">
        <f>F262/240*1</f>
        <v>0.7</v>
      </c>
      <c r="G263" s="111"/>
      <c r="H263" s="189" t="s">
        <v>22</v>
      </c>
      <c r="I263" s="190"/>
      <c r="J263" s="113">
        <f>J262/240*1</f>
        <v>0.67083333333333328</v>
      </c>
      <c r="K263" s="114"/>
      <c r="L263" s="115"/>
      <c r="M263" s="115"/>
      <c r="N263" s="115"/>
      <c r="O263" s="115"/>
    </row>
    <row r="264" spans="1:15" ht="24" thickBot="1" x14ac:dyDescent="0.4">
      <c r="A264" s="120">
        <v>10</v>
      </c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</row>
    <row r="265" spans="1:15" ht="21" thickBot="1" x14ac:dyDescent="0.35">
      <c r="A265" s="244" t="s">
        <v>25</v>
      </c>
      <c r="B265" s="191" t="s">
        <v>0</v>
      </c>
      <c r="C265" s="192"/>
      <c r="D265" s="192"/>
      <c r="E265" s="192"/>
      <c r="F265" s="192"/>
      <c r="G265" s="192"/>
      <c r="H265" s="192"/>
      <c r="I265" s="192"/>
      <c r="J265" s="192"/>
      <c r="K265" s="193"/>
      <c r="L265" s="115"/>
      <c r="M265" s="115"/>
      <c r="N265" s="115"/>
      <c r="O265" s="115"/>
    </row>
    <row r="266" spans="1:15" ht="21" thickBot="1" x14ac:dyDescent="0.35">
      <c r="A266" s="245"/>
      <c r="B266" s="196" t="s">
        <v>17</v>
      </c>
      <c r="C266" s="197"/>
      <c r="D266" s="197"/>
      <c r="E266" s="197"/>
      <c r="F266" s="198"/>
      <c r="G266" s="199" t="s">
        <v>1</v>
      </c>
      <c r="H266" s="200"/>
      <c r="I266" s="200"/>
      <c r="J266" s="200"/>
      <c r="K266" s="201"/>
      <c r="L266" s="115"/>
      <c r="M266" s="115"/>
      <c r="N266" s="115"/>
      <c r="O266" s="115"/>
    </row>
    <row r="267" spans="1:15" ht="41.25" thickBot="1" x14ac:dyDescent="0.25">
      <c r="A267" s="246"/>
      <c r="B267" s="2" t="s">
        <v>2</v>
      </c>
      <c r="C267" s="3" t="s">
        <v>6</v>
      </c>
      <c r="D267" s="3" t="s">
        <v>7</v>
      </c>
      <c r="E267" s="3" t="s">
        <v>8</v>
      </c>
      <c r="F267" s="4" t="s">
        <v>19</v>
      </c>
      <c r="G267" s="5" t="s">
        <v>2</v>
      </c>
      <c r="H267" s="6" t="s">
        <v>3</v>
      </c>
      <c r="I267" s="6" t="s">
        <v>4</v>
      </c>
      <c r="J267" s="7" t="s">
        <v>18</v>
      </c>
      <c r="K267" s="8" t="s">
        <v>5</v>
      </c>
      <c r="L267" s="115"/>
      <c r="M267" s="115"/>
      <c r="N267" s="115"/>
      <c r="O267" s="115"/>
    </row>
    <row r="268" spans="1:15" ht="18" x14ac:dyDescent="0.2">
      <c r="A268" s="237">
        <v>45353</v>
      </c>
      <c r="B268" s="220" t="s">
        <v>9</v>
      </c>
      <c r="C268" s="9"/>
      <c r="D268" s="9" t="s">
        <v>7</v>
      </c>
      <c r="E268" s="10"/>
      <c r="F268" s="11">
        <v>7</v>
      </c>
      <c r="G268" s="223" t="s">
        <v>9</v>
      </c>
      <c r="H268" s="12"/>
      <c r="I268" s="12" t="s">
        <v>10</v>
      </c>
      <c r="J268" s="11">
        <v>7</v>
      </c>
      <c r="K268" s="13"/>
      <c r="L268" s="115"/>
      <c r="M268" s="115"/>
      <c r="N268" s="115"/>
      <c r="O268" s="115"/>
    </row>
    <row r="269" spans="1:15" ht="18" x14ac:dyDescent="0.2">
      <c r="A269" s="238"/>
      <c r="B269" s="221"/>
      <c r="C269" s="14"/>
      <c r="D269" s="9" t="s">
        <v>7</v>
      </c>
      <c r="E269" s="10"/>
      <c r="F269" s="11">
        <v>7</v>
      </c>
      <c r="G269" s="224"/>
      <c r="H269" s="15"/>
      <c r="I269" s="16" t="s">
        <v>10</v>
      </c>
      <c r="J269" s="11">
        <v>7</v>
      </c>
      <c r="K269" s="17"/>
      <c r="L269" s="115"/>
      <c r="M269" s="115"/>
      <c r="N269" s="115"/>
      <c r="O269" s="115"/>
    </row>
    <row r="270" spans="1:15" ht="18" x14ac:dyDescent="0.2">
      <c r="A270" s="238"/>
      <c r="B270" s="221"/>
      <c r="C270" s="14"/>
      <c r="D270" s="9" t="s">
        <v>7</v>
      </c>
      <c r="E270" s="10"/>
      <c r="F270" s="11">
        <v>7</v>
      </c>
      <c r="G270" s="224"/>
      <c r="H270" s="15"/>
      <c r="I270" s="16" t="s">
        <v>10</v>
      </c>
      <c r="J270" s="11">
        <v>7</v>
      </c>
      <c r="K270" s="17"/>
      <c r="L270" s="115"/>
      <c r="M270" s="115"/>
      <c r="N270" s="115"/>
      <c r="O270" s="115"/>
    </row>
    <row r="271" spans="1:15" ht="18.75" thickBot="1" x14ac:dyDescent="0.25">
      <c r="A271" s="238"/>
      <c r="B271" s="222"/>
      <c r="C271" s="18"/>
      <c r="D271" s="19" t="s">
        <v>7</v>
      </c>
      <c r="E271" s="20"/>
      <c r="F271" s="21">
        <v>7</v>
      </c>
      <c r="G271" s="225"/>
      <c r="H271" s="22"/>
      <c r="I271" s="23" t="s">
        <v>10</v>
      </c>
      <c r="J271" s="21">
        <v>7</v>
      </c>
      <c r="K271" s="24"/>
      <c r="L271" s="115"/>
      <c r="M271" s="115"/>
      <c r="N271" s="115"/>
      <c r="O271" s="115"/>
    </row>
    <row r="272" spans="1:15" ht="18" customHeight="1" x14ac:dyDescent="0.2">
      <c r="A272" s="237">
        <v>45354</v>
      </c>
      <c r="B272" s="226" t="s">
        <v>12</v>
      </c>
      <c r="C272" s="25"/>
      <c r="D272" s="25" t="s">
        <v>7</v>
      </c>
      <c r="E272" s="26"/>
      <c r="F272" s="27">
        <v>7</v>
      </c>
      <c r="G272" s="229" t="s">
        <v>12</v>
      </c>
      <c r="H272" s="28"/>
      <c r="I272" s="28" t="s">
        <v>10</v>
      </c>
      <c r="J272" s="27">
        <v>7</v>
      </c>
      <c r="K272" s="29"/>
      <c r="L272" s="115"/>
      <c r="M272" s="115"/>
      <c r="N272" s="115"/>
      <c r="O272" s="115"/>
    </row>
    <row r="273" spans="1:15" ht="18" customHeight="1" x14ac:dyDescent="0.2">
      <c r="A273" s="238"/>
      <c r="B273" s="227"/>
      <c r="C273" s="30"/>
      <c r="D273" s="31" t="s">
        <v>7</v>
      </c>
      <c r="E273" s="32"/>
      <c r="F273" s="33">
        <v>7</v>
      </c>
      <c r="G273" s="230"/>
      <c r="H273" s="34"/>
      <c r="I273" s="35" t="s">
        <v>10</v>
      </c>
      <c r="J273" s="33">
        <v>7</v>
      </c>
      <c r="K273" s="36"/>
      <c r="L273" s="115"/>
      <c r="M273" s="115"/>
      <c r="N273" s="115"/>
      <c r="O273" s="115"/>
    </row>
    <row r="274" spans="1:15" ht="18" customHeight="1" x14ac:dyDescent="0.2">
      <c r="A274" s="238"/>
      <c r="B274" s="227"/>
      <c r="C274" s="30"/>
      <c r="D274" s="31" t="s">
        <v>7</v>
      </c>
      <c r="E274" s="32"/>
      <c r="F274" s="33">
        <v>7</v>
      </c>
      <c r="G274" s="230"/>
      <c r="H274" s="34"/>
      <c r="I274" s="35" t="s">
        <v>10</v>
      </c>
      <c r="J274" s="33">
        <v>7</v>
      </c>
      <c r="K274" s="36"/>
      <c r="L274" s="115"/>
      <c r="M274" s="115"/>
      <c r="N274" s="115"/>
      <c r="O274" s="115"/>
    </row>
    <row r="275" spans="1:15" ht="18.75" customHeight="1" thickBot="1" x14ac:dyDescent="0.25">
      <c r="A275" s="238"/>
      <c r="B275" s="228"/>
      <c r="C275" s="37"/>
      <c r="D275" s="38" t="s">
        <v>7</v>
      </c>
      <c r="E275" s="39"/>
      <c r="F275" s="40">
        <v>7</v>
      </c>
      <c r="G275" s="231"/>
      <c r="H275" s="41"/>
      <c r="I275" s="42" t="s">
        <v>10</v>
      </c>
      <c r="J275" s="40">
        <v>7</v>
      </c>
      <c r="K275" s="43"/>
      <c r="L275" s="115"/>
      <c r="M275" s="115"/>
      <c r="N275" s="115"/>
      <c r="O275" s="115"/>
    </row>
    <row r="276" spans="1:15" ht="18" customHeight="1" x14ac:dyDescent="0.2">
      <c r="A276" s="237">
        <v>45355</v>
      </c>
      <c r="B276" s="232" t="s">
        <v>13</v>
      </c>
      <c r="C276" s="44"/>
      <c r="D276" s="44" t="s">
        <v>7</v>
      </c>
      <c r="E276" s="45"/>
      <c r="F276" s="46">
        <v>7</v>
      </c>
      <c r="G276" s="185" t="s">
        <v>13</v>
      </c>
      <c r="H276" s="47"/>
      <c r="I276" s="47" t="s">
        <v>10</v>
      </c>
      <c r="J276" s="46">
        <v>7</v>
      </c>
      <c r="K276" s="48"/>
      <c r="L276" s="115"/>
      <c r="M276" s="115"/>
      <c r="N276" s="115"/>
      <c r="O276" s="115"/>
    </row>
    <row r="277" spans="1:15" ht="18" customHeight="1" x14ac:dyDescent="0.2">
      <c r="A277" s="238"/>
      <c r="B277" s="233"/>
      <c r="C277" s="49"/>
      <c r="D277" s="44" t="s">
        <v>7</v>
      </c>
      <c r="E277" s="45"/>
      <c r="F277" s="46">
        <v>7</v>
      </c>
      <c r="G277" s="235"/>
      <c r="H277" s="50"/>
      <c r="I277" s="51" t="s">
        <v>10</v>
      </c>
      <c r="J277" s="46">
        <v>7</v>
      </c>
      <c r="K277" s="52"/>
      <c r="L277" s="115"/>
      <c r="M277" s="115"/>
      <c r="N277" s="115"/>
      <c r="O277" s="115"/>
    </row>
    <row r="278" spans="1:15" ht="18" customHeight="1" x14ac:dyDescent="0.2">
      <c r="A278" s="238"/>
      <c r="B278" s="233"/>
      <c r="C278" s="49"/>
      <c r="D278" s="44" t="s">
        <v>7</v>
      </c>
      <c r="E278" s="45"/>
      <c r="F278" s="46">
        <v>7</v>
      </c>
      <c r="G278" s="235"/>
      <c r="H278" s="50"/>
      <c r="I278" s="51" t="s">
        <v>10</v>
      </c>
      <c r="J278" s="46">
        <v>7</v>
      </c>
      <c r="K278" s="52"/>
      <c r="L278" s="115"/>
      <c r="M278" s="115"/>
      <c r="N278" s="115"/>
      <c r="O278" s="115"/>
    </row>
    <row r="279" spans="1:15" ht="18.75" customHeight="1" thickBot="1" x14ac:dyDescent="0.25">
      <c r="A279" s="238"/>
      <c r="B279" s="234"/>
      <c r="C279" s="53"/>
      <c r="D279" s="54" t="s">
        <v>7</v>
      </c>
      <c r="E279" s="55"/>
      <c r="F279" s="56">
        <v>7</v>
      </c>
      <c r="G279" s="236"/>
      <c r="H279" s="57"/>
      <c r="I279" s="58" t="s">
        <v>10</v>
      </c>
      <c r="J279" s="56">
        <v>7</v>
      </c>
      <c r="K279" s="59"/>
      <c r="L279" s="115"/>
      <c r="M279" s="115"/>
      <c r="N279" s="115"/>
      <c r="O279" s="115"/>
    </row>
    <row r="280" spans="1:15" ht="18" customHeight="1" x14ac:dyDescent="0.2">
      <c r="A280" s="237">
        <v>45356</v>
      </c>
      <c r="B280" s="202" t="s">
        <v>14</v>
      </c>
      <c r="C280" s="60"/>
      <c r="D280" s="60" t="s">
        <v>7</v>
      </c>
      <c r="E280" s="61"/>
      <c r="F280" s="62">
        <v>7</v>
      </c>
      <c r="G280" s="205" t="s">
        <v>14</v>
      </c>
      <c r="H280" s="44"/>
      <c r="I280" s="44" t="s">
        <v>10</v>
      </c>
      <c r="J280" s="62">
        <v>7</v>
      </c>
      <c r="K280" s="45"/>
      <c r="L280" s="115"/>
      <c r="M280" s="115"/>
      <c r="N280" s="115"/>
      <c r="O280" s="115"/>
    </row>
    <row r="281" spans="1:15" ht="18" customHeight="1" x14ac:dyDescent="0.2">
      <c r="A281" s="238"/>
      <c r="B281" s="203"/>
      <c r="C281" s="63"/>
      <c r="D281" s="64" t="s">
        <v>7</v>
      </c>
      <c r="E281" s="65"/>
      <c r="F281" s="66">
        <v>7</v>
      </c>
      <c r="G281" s="206"/>
      <c r="H281" s="49"/>
      <c r="I281" s="44" t="s">
        <v>10</v>
      </c>
      <c r="J281" s="66">
        <v>7</v>
      </c>
      <c r="K281" s="67"/>
      <c r="L281" s="115"/>
      <c r="M281" s="115"/>
      <c r="N281" s="115"/>
      <c r="O281" s="115"/>
    </row>
    <row r="282" spans="1:15" ht="18" customHeight="1" x14ac:dyDescent="0.2">
      <c r="A282" s="238"/>
      <c r="B282" s="203"/>
      <c r="C282" s="63"/>
      <c r="D282" s="64" t="s">
        <v>7</v>
      </c>
      <c r="E282" s="65"/>
      <c r="F282" s="66">
        <v>7</v>
      </c>
      <c r="G282" s="206"/>
      <c r="H282" s="49"/>
      <c r="I282" s="44" t="s">
        <v>10</v>
      </c>
      <c r="J282" s="66">
        <v>7</v>
      </c>
      <c r="K282" s="67"/>
      <c r="L282" s="115"/>
      <c r="M282" s="115"/>
      <c r="N282" s="115"/>
      <c r="O282" s="115"/>
    </row>
    <row r="283" spans="1:15" ht="18.75" customHeight="1" thickBot="1" x14ac:dyDescent="0.25">
      <c r="A283" s="238"/>
      <c r="B283" s="204"/>
      <c r="C283" s="68"/>
      <c r="D283" s="69" t="s">
        <v>7</v>
      </c>
      <c r="E283" s="70"/>
      <c r="F283" s="71">
        <v>7</v>
      </c>
      <c r="G283" s="207"/>
      <c r="H283" s="53"/>
      <c r="I283" s="54" t="s">
        <v>10</v>
      </c>
      <c r="J283" s="71">
        <v>7</v>
      </c>
      <c r="K283" s="72"/>
      <c r="L283" s="115"/>
      <c r="M283" s="115"/>
      <c r="N283" s="115"/>
      <c r="O283" s="115"/>
    </row>
    <row r="284" spans="1:15" ht="18" customHeight="1" x14ac:dyDescent="0.2">
      <c r="A284" s="237">
        <v>45357</v>
      </c>
      <c r="B284" s="208" t="s">
        <v>15</v>
      </c>
      <c r="C284" s="16"/>
      <c r="D284" s="16" t="s">
        <v>7</v>
      </c>
      <c r="E284" s="73"/>
      <c r="F284" s="74">
        <v>7</v>
      </c>
      <c r="G284" s="211" t="s">
        <v>15</v>
      </c>
      <c r="H284" s="75"/>
      <c r="I284" s="75" t="s">
        <v>10</v>
      </c>
      <c r="J284" s="74">
        <v>7</v>
      </c>
      <c r="K284" s="76"/>
      <c r="L284" s="115"/>
      <c r="M284" s="115"/>
      <c r="N284" s="115"/>
      <c r="O284" s="115"/>
    </row>
    <row r="285" spans="1:15" ht="18" customHeight="1" x14ac:dyDescent="0.2">
      <c r="A285" s="238"/>
      <c r="B285" s="209"/>
      <c r="C285" s="15"/>
      <c r="D285" s="16" t="s">
        <v>7</v>
      </c>
      <c r="E285" s="73"/>
      <c r="F285" s="74">
        <v>7</v>
      </c>
      <c r="G285" s="212"/>
      <c r="H285" s="77"/>
      <c r="I285" s="78" t="s">
        <v>10</v>
      </c>
      <c r="J285" s="74">
        <v>7</v>
      </c>
      <c r="K285" s="79"/>
      <c r="L285" s="115"/>
      <c r="M285" s="115"/>
      <c r="N285" s="115"/>
      <c r="O285" s="115"/>
    </row>
    <row r="286" spans="1:15" ht="18" customHeight="1" x14ac:dyDescent="0.2">
      <c r="A286" s="238"/>
      <c r="B286" s="209"/>
      <c r="C286" s="15"/>
      <c r="D286" s="16" t="s">
        <v>7</v>
      </c>
      <c r="E286" s="73"/>
      <c r="F286" s="74">
        <v>7</v>
      </c>
      <c r="G286" s="212"/>
      <c r="H286" s="77"/>
      <c r="I286" s="78" t="s">
        <v>10</v>
      </c>
      <c r="J286" s="74">
        <v>7</v>
      </c>
      <c r="K286" s="79"/>
      <c r="L286" s="115"/>
      <c r="M286" s="115"/>
      <c r="N286" s="115"/>
      <c r="O286" s="115"/>
    </row>
    <row r="287" spans="1:15" ht="18.75" customHeight="1" thickBot="1" x14ac:dyDescent="0.25">
      <c r="A287" s="238"/>
      <c r="B287" s="210"/>
      <c r="C287" s="80"/>
      <c r="D287" s="81" t="s">
        <v>7</v>
      </c>
      <c r="E287" s="82"/>
      <c r="F287" s="83">
        <v>7</v>
      </c>
      <c r="G287" s="213"/>
      <c r="H287" s="84"/>
      <c r="I287" s="85" t="s">
        <v>10</v>
      </c>
      <c r="J287" s="83">
        <v>7</v>
      </c>
      <c r="K287" s="86"/>
      <c r="L287" s="115"/>
      <c r="M287" s="115"/>
      <c r="N287" s="115"/>
      <c r="O287" s="115"/>
    </row>
    <row r="288" spans="1:15" ht="18" customHeight="1" x14ac:dyDescent="0.2">
      <c r="A288" s="237">
        <v>45358</v>
      </c>
      <c r="B288" s="214" t="s">
        <v>16</v>
      </c>
      <c r="C288" s="87"/>
      <c r="D288" s="87" t="s">
        <v>7</v>
      </c>
      <c r="E288" s="88"/>
      <c r="F288" s="89">
        <v>7</v>
      </c>
      <c r="G288" s="217" t="s">
        <v>16</v>
      </c>
      <c r="H288" s="90"/>
      <c r="I288" s="90" t="s">
        <v>10</v>
      </c>
      <c r="J288" s="89">
        <v>0</v>
      </c>
      <c r="K288" s="91"/>
      <c r="L288" s="115"/>
      <c r="M288" s="115"/>
      <c r="N288" s="115"/>
      <c r="O288" s="115"/>
    </row>
    <row r="289" spans="1:15" ht="18" customHeight="1" x14ac:dyDescent="0.2">
      <c r="A289" s="238"/>
      <c r="B289" s="215"/>
      <c r="C289" s="92"/>
      <c r="D289" s="93" t="s">
        <v>7</v>
      </c>
      <c r="E289" s="94"/>
      <c r="F289" s="95">
        <v>7</v>
      </c>
      <c r="G289" s="218"/>
      <c r="H289" s="96"/>
      <c r="I289" s="97" t="s">
        <v>10</v>
      </c>
      <c r="J289" s="95">
        <v>7</v>
      </c>
      <c r="K289" s="98"/>
      <c r="L289" s="115"/>
      <c r="M289" s="115"/>
      <c r="N289" s="115"/>
      <c r="O289" s="115"/>
    </row>
    <row r="290" spans="1:15" ht="18" customHeight="1" x14ac:dyDescent="0.2">
      <c r="A290" s="238"/>
      <c r="B290" s="215"/>
      <c r="C290" s="92"/>
      <c r="D290" s="93" t="s">
        <v>7</v>
      </c>
      <c r="E290" s="94"/>
      <c r="F290" s="95">
        <v>7</v>
      </c>
      <c r="G290" s="218"/>
      <c r="H290" s="96"/>
      <c r="I290" s="97" t="s">
        <v>10</v>
      </c>
      <c r="J290" s="95">
        <v>7</v>
      </c>
      <c r="K290" s="98"/>
      <c r="L290" s="115"/>
      <c r="M290" s="115"/>
      <c r="N290" s="115"/>
      <c r="O290" s="115"/>
    </row>
    <row r="291" spans="1:15" ht="18.75" customHeight="1" thickBot="1" x14ac:dyDescent="0.25">
      <c r="A291" s="238"/>
      <c r="B291" s="216"/>
      <c r="C291" s="99"/>
      <c r="D291" s="100" t="s">
        <v>7</v>
      </c>
      <c r="E291" s="101"/>
      <c r="F291" s="102">
        <v>7</v>
      </c>
      <c r="G291" s="219"/>
      <c r="H291" s="103"/>
      <c r="I291" s="104" t="s">
        <v>10</v>
      </c>
      <c r="J291" s="102">
        <v>7</v>
      </c>
      <c r="K291" s="105"/>
      <c r="L291" s="115"/>
      <c r="M291" s="115"/>
      <c r="N291" s="115"/>
      <c r="O291" s="115"/>
    </row>
    <row r="292" spans="1:15" ht="23.25" x14ac:dyDescent="0.35">
      <c r="A292" s="118"/>
      <c r="B292" s="106"/>
      <c r="C292" s="107"/>
      <c r="D292" s="194" t="s">
        <v>20</v>
      </c>
      <c r="E292" s="195"/>
      <c r="F292" s="108">
        <f>SUM(F268:F291)</f>
        <v>168</v>
      </c>
      <c r="G292" s="107"/>
      <c r="H292" s="185" t="s">
        <v>20</v>
      </c>
      <c r="I292" s="186"/>
      <c r="J292" s="108">
        <f>SUM(J268:J291)</f>
        <v>161</v>
      </c>
      <c r="K292" s="109"/>
      <c r="L292" s="115"/>
      <c r="M292" s="115"/>
      <c r="N292" s="115"/>
      <c r="O292" s="115"/>
    </row>
    <row r="293" spans="1:15" ht="24" thickBot="1" x14ac:dyDescent="0.4">
      <c r="A293" s="119"/>
      <c r="B293" s="110"/>
      <c r="C293" s="111"/>
      <c r="D293" s="187" t="s">
        <v>21</v>
      </c>
      <c r="E293" s="188"/>
      <c r="F293" s="112">
        <f>F292/240*1</f>
        <v>0.7</v>
      </c>
      <c r="G293" s="111"/>
      <c r="H293" s="189" t="s">
        <v>22</v>
      </c>
      <c r="I293" s="190"/>
      <c r="J293" s="113">
        <f>J292/240*1</f>
        <v>0.67083333333333328</v>
      </c>
      <c r="K293" s="114"/>
      <c r="L293" s="115"/>
      <c r="M293" s="115"/>
      <c r="N293" s="115"/>
      <c r="O293" s="115"/>
    </row>
    <row r="294" spans="1:15" ht="24" thickBot="1" x14ac:dyDescent="0.4">
      <c r="A294" s="120">
        <v>11</v>
      </c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</row>
    <row r="295" spans="1:15" ht="21" thickBot="1" x14ac:dyDescent="0.35">
      <c r="A295" s="244" t="s">
        <v>25</v>
      </c>
      <c r="B295" s="191" t="s">
        <v>0</v>
      </c>
      <c r="C295" s="192"/>
      <c r="D295" s="192"/>
      <c r="E295" s="192"/>
      <c r="F295" s="192"/>
      <c r="G295" s="192"/>
      <c r="H295" s="192"/>
      <c r="I295" s="192"/>
      <c r="J295" s="192"/>
      <c r="K295" s="193"/>
      <c r="L295" s="115"/>
      <c r="M295" s="115"/>
      <c r="N295" s="115"/>
      <c r="O295" s="115"/>
    </row>
    <row r="296" spans="1:15" ht="21" thickBot="1" x14ac:dyDescent="0.35">
      <c r="A296" s="245"/>
      <c r="B296" s="196" t="s">
        <v>17</v>
      </c>
      <c r="C296" s="197"/>
      <c r="D296" s="197"/>
      <c r="E296" s="197"/>
      <c r="F296" s="198"/>
      <c r="G296" s="199" t="s">
        <v>1</v>
      </c>
      <c r="H296" s="200"/>
      <c r="I296" s="200"/>
      <c r="J296" s="200"/>
      <c r="K296" s="201"/>
      <c r="L296" s="115"/>
      <c r="M296" s="115"/>
      <c r="N296" s="115"/>
      <c r="O296" s="115"/>
    </row>
    <row r="297" spans="1:15" ht="41.25" thickBot="1" x14ac:dyDescent="0.25">
      <c r="A297" s="246"/>
      <c r="B297" s="2" t="s">
        <v>2</v>
      </c>
      <c r="C297" s="3" t="s">
        <v>6</v>
      </c>
      <c r="D297" s="3" t="s">
        <v>7</v>
      </c>
      <c r="E297" s="3" t="s">
        <v>8</v>
      </c>
      <c r="F297" s="4" t="s">
        <v>19</v>
      </c>
      <c r="G297" s="5" t="s">
        <v>2</v>
      </c>
      <c r="H297" s="6" t="s">
        <v>3</v>
      </c>
      <c r="I297" s="6" t="s">
        <v>4</v>
      </c>
      <c r="J297" s="7" t="s">
        <v>18</v>
      </c>
      <c r="K297" s="8" t="s">
        <v>5</v>
      </c>
      <c r="L297" s="115"/>
      <c r="M297" s="115"/>
      <c r="N297" s="115"/>
      <c r="O297" s="115"/>
    </row>
    <row r="298" spans="1:15" ht="18" x14ac:dyDescent="0.2">
      <c r="A298" s="237">
        <v>45360</v>
      </c>
      <c r="B298" s="220" t="s">
        <v>9</v>
      </c>
      <c r="C298" s="9"/>
      <c r="D298" s="9" t="s">
        <v>7</v>
      </c>
      <c r="E298" s="10"/>
      <c r="F298" s="11">
        <v>7</v>
      </c>
      <c r="G298" s="223" t="s">
        <v>9</v>
      </c>
      <c r="H298" s="12"/>
      <c r="I298" s="12" t="s">
        <v>10</v>
      </c>
      <c r="J298" s="11">
        <v>7</v>
      </c>
      <c r="K298" s="13"/>
      <c r="L298" s="115"/>
      <c r="M298" s="115"/>
      <c r="N298" s="115"/>
      <c r="O298" s="115"/>
    </row>
    <row r="299" spans="1:15" ht="18" x14ac:dyDescent="0.2">
      <c r="A299" s="238"/>
      <c r="B299" s="221"/>
      <c r="C299" s="14"/>
      <c r="D299" s="9" t="s">
        <v>7</v>
      </c>
      <c r="E299" s="10"/>
      <c r="F299" s="11">
        <v>7</v>
      </c>
      <c r="G299" s="224"/>
      <c r="H299" s="15"/>
      <c r="I299" s="16" t="s">
        <v>10</v>
      </c>
      <c r="J299" s="11">
        <v>7</v>
      </c>
      <c r="K299" s="17"/>
      <c r="L299" s="115"/>
      <c r="M299" s="115"/>
      <c r="N299" s="115"/>
      <c r="O299" s="115"/>
    </row>
    <row r="300" spans="1:15" ht="18" x14ac:dyDescent="0.2">
      <c r="A300" s="238"/>
      <c r="B300" s="221"/>
      <c r="C300" s="14"/>
      <c r="D300" s="9" t="s">
        <v>7</v>
      </c>
      <c r="E300" s="10"/>
      <c r="F300" s="11">
        <v>7</v>
      </c>
      <c r="G300" s="224"/>
      <c r="H300" s="15"/>
      <c r="I300" s="16" t="s">
        <v>10</v>
      </c>
      <c r="J300" s="11">
        <v>7</v>
      </c>
      <c r="K300" s="17"/>
      <c r="L300" s="115"/>
      <c r="M300" s="115"/>
      <c r="N300" s="115"/>
      <c r="O300" s="115"/>
    </row>
    <row r="301" spans="1:15" ht="18.75" thickBot="1" x14ac:dyDescent="0.25">
      <c r="A301" s="238"/>
      <c r="B301" s="222"/>
      <c r="C301" s="18"/>
      <c r="D301" s="19" t="s">
        <v>7</v>
      </c>
      <c r="E301" s="20"/>
      <c r="F301" s="21">
        <v>7</v>
      </c>
      <c r="G301" s="225"/>
      <c r="H301" s="22"/>
      <c r="I301" s="23" t="s">
        <v>10</v>
      </c>
      <c r="J301" s="21">
        <v>7</v>
      </c>
      <c r="K301" s="24"/>
      <c r="L301" s="115"/>
      <c r="M301" s="115"/>
      <c r="N301" s="115"/>
      <c r="O301" s="115"/>
    </row>
    <row r="302" spans="1:15" ht="18" customHeight="1" x14ac:dyDescent="0.2">
      <c r="A302" s="237">
        <v>45361</v>
      </c>
      <c r="B302" s="226" t="s">
        <v>12</v>
      </c>
      <c r="C302" s="25"/>
      <c r="D302" s="25" t="s">
        <v>7</v>
      </c>
      <c r="E302" s="26"/>
      <c r="F302" s="27">
        <v>7</v>
      </c>
      <c r="G302" s="229" t="s">
        <v>12</v>
      </c>
      <c r="H302" s="28"/>
      <c r="I302" s="28" t="s">
        <v>10</v>
      </c>
      <c r="J302" s="27">
        <v>7</v>
      </c>
      <c r="K302" s="29"/>
      <c r="L302" s="115"/>
      <c r="M302" s="115"/>
      <c r="N302" s="115"/>
      <c r="O302" s="115"/>
    </row>
    <row r="303" spans="1:15" ht="18" customHeight="1" x14ac:dyDescent="0.2">
      <c r="A303" s="238"/>
      <c r="B303" s="227"/>
      <c r="C303" s="30"/>
      <c r="D303" s="31" t="s">
        <v>7</v>
      </c>
      <c r="E303" s="32"/>
      <c r="F303" s="33">
        <v>7</v>
      </c>
      <c r="G303" s="230"/>
      <c r="H303" s="34"/>
      <c r="I303" s="35" t="s">
        <v>10</v>
      </c>
      <c r="J303" s="33">
        <v>7</v>
      </c>
      <c r="K303" s="36"/>
      <c r="L303" s="115"/>
      <c r="M303" s="115"/>
      <c r="N303" s="115"/>
      <c r="O303" s="115"/>
    </row>
    <row r="304" spans="1:15" ht="18" customHeight="1" x14ac:dyDescent="0.2">
      <c r="A304" s="238"/>
      <c r="B304" s="227"/>
      <c r="C304" s="30"/>
      <c r="D304" s="31" t="s">
        <v>7</v>
      </c>
      <c r="E304" s="32"/>
      <c r="F304" s="33">
        <v>7</v>
      </c>
      <c r="G304" s="230"/>
      <c r="H304" s="34"/>
      <c r="I304" s="35" t="s">
        <v>10</v>
      </c>
      <c r="J304" s="33">
        <v>7</v>
      </c>
      <c r="K304" s="36"/>
      <c r="L304" s="115"/>
      <c r="M304" s="115"/>
      <c r="N304" s="115"/>
      <c r="O304" s="115"/>
    </row>
    <row r="305" spans="1:15" ht="18.75" customHeight="1" thickBot="1" x14ac:dyDescent="0.25">
      <c r="A305" s="238"/>
      <c r="B305" s="228"/>
      <c r="C305" s="37"/>
      <c r="D305" s="38" t="s">
        <v>7</v>
      </c>
      <c r="E305" s="39"/>
      <c r="F305" s="40">
        <v>7</v>
      </c>
      <c r="G305" s="231"/>
      <c r="H305" s="41"/>
      <c r="I305" s="42" t="s">
        <v>10</v>
      </c>
      <c r="J305" s="40">
        <v>7</v>
      </c>
      <c r="K305" s="43"/>
      <c r="L305" s="115"/>
      <c r="M305" s="115"/>
      <c r="N305" s="115"/>
      <c r="O305" s="115"/>
    </row>
    <row r="306" spans="1:15" ht="18" customHeight="1" x14ac:dyDescent="0.2">
      <c r="A306" s="237">
        <v>45362</v>
      </c>
      <c r="B306" s="232" t="s">
        <v>13</v>
      </c>
      <c r="C306" s="44"/>
      <c r="D306" s="44" t="s">
        <v>7</v>
      </c>
      <c r="E306" s="45"/>
      <c r="F306" s="46">
        <v>7</v>
      </c>
      <c r="G306" s="185" t="s">
        <v>13</v>
      </c>
      <c r="H306" s="47"/>
      <c r="I306" s="47" t="s">
        <v>10</v>
      </c>
      <c r="J306" s="46">
        <v>7</v>
      </c>
      <c r="K306" s="48"/>
      <c r="L306" s="115"/>
      <c r="M306" s="115"/>
      <c r="N306" s="115"/>
      <c r="O306" s="115"/>
    </row>
    <row r="307" spans="1:15" ht="18" customHeight="1" x14ac:dyDescent="0.2">
      <c r="A307" s="238"/>
      <c r="B307" s="233"/>
      <c r="C307" s="49"/>
      <c r="D307" s="44" t="s">
        <v>7</v>
      </c>
      <c r="E307" s="45"/>
      <c r="F307" s="46">
        <v>7</v>
      </c>
      <c r="G307" s="235"/>
      <c r="H307" s="50"/>
      <c r="I307" s="51" t="s">
        <v>10</v>
      </c>
      <c r="J307" s="46">
        <v>7</v>
      </c>
      <c r="K307" s="52"/>
      <c r="L307" s="115"/>
      <c r="M307" s="115"/>
      <c r="N307" s="115"/>
      <c r="O307" s="115"/>
    </row>
    <row r="308" spans="1:15" ht="18" customHeight="1" x14ac:dyDescent="0.2">
      <c r="A308" s="238"/>
      <c r="B308" s="233"/>
      <c r="C308" s="49"/>
      <c r="D308" s="44" t="s">
        <v>7</v>
      </c>
      <c r="E308" s="45"/>
      <c r="F308" s="46">
        <v>7</v>
      </c>
      <c r="G308" s="235"/>
      <c r="H308" s="50"/>
      <c r="I308" s="51" t="s">
        <v>10</v>
      </c>
      <c r="J308" s="46">
        <v>7</v>
      </c>
      <c r="K308" s="52"/>
      <c r="L308" s="115"/>
      <c r="M308" s="115"/>
      <c r="N308" s="115"/>
      <c r="O308" s="115"/>
    </row>
    <row r="309" spans="1:15" ht="18.75" customHeight="1" thickBot="1" x14ac:dyDescent="0.25">
      <c r="A309" s="238"/>
      <c r="B309" s="234"/>
      <c r="C309" s="53"/>
      <c r="D309" s="54" t="s">
        <v>7</v>
      </c>
      <c r="E309" s="55"/>
      <c r="F309" s="56">
        <v>7</v>
      </c>
      <c r="G309" s="236"/>
      <c r="H309" s="57"/>
      <c r="I309" s="58" t="s">
        <v>10</v>
      </c>
      <c r="J309" s="56">
        <v>7</v>
      </c>
      <c r="K309" s="59"/>
      <c r="L309" s="115"/>
      <c r="M309" s="115"/>
      <c r="N309" s="115"/>
      <c r="O309" s="115"/>
    </row>
    <row r="310" spans="1:15" ht="18" customHeight="1" x14ac:dyDescent="0.2">
      <c r="A310" s="237">
        <v>45363</v>
      </c>
      <c r="B310" s="202" t="s">
        <v>14</v>
      </c>
      <c r="C310" s="60"/>
      <c r="D310" s="60" t="s">
        <v>7</v>
      </c>
      <c r="E310" s="61"/>
      <c r="F310" s="62">
        <v>7</v>
      </c>
      <c r="G310" s="205" t="s">
        <v>14</v>
      </c>
      <c r="H310" s="44"/>
      <c r="I310" s="44" t="s">
        <v>10</v>
      </c>
      <c r="J310" s="62">
        <v>7</v>
      </c>
      <c r="K310" s="45"/>
      <c r="L310" s="115"/>
      <c r="M310" s="115"/>
      <c r="N310" s="115"/>
      <c r="O310" s="115"/>
    </row>
    <row r="311" spans="1:15" ht="18" customHeight="1" x14ac:dyDescent="0.2">
      <c r="A311" s="238"/>
      <c r="B311" s="203"/>
      <c r="C311" s="63"/>
      <c r="D311" s="64" t="s">
        <v>7</v>
      </c>
      <c r="E311" s="65"/>
      <c r="F311" s="66">
        <v>7</v>
      </c>
      <c r="G311" s="206"/>
      <c r="H311" s="49"/>
      <c r="I311" s="44" t="s">
        <v>10</v>
      </c>
      <c r="J311" s="66">
        <v>7</v>
      </c>
      <c r="K311" s="67"/>
      <c r="L311" s="115"/>
      <c r="M311" s="115"/>
      <c r="N311" s="115"/>
      <c r="O311" s="115"/>
    </row>
    <row r="312" spans="1:15" ht="18" customHeight="1" x14ac:dyDescent="0.2">
      <c r="A312" s="238"/>
      <c r="B312" s="203"/>
      <c r="C312" s="63"/>
      <c r="D312" s="64" t="s">
        <v>7</v>
      </c>
      <c r="E312" s="65"/>
      <c r="F312" s="66">
        <v>7</v>
      </c>
      <c r="G312" s="206"/>
      <c r="H312" s="49"/>
      <c r="I312" s="44" t="s">
        <v>10</v>
      </c>
      <c r="J312" s="66">
        <v>7</v>
      </c>
      <c r="K312" s="67"/>
      <c r="L312" s="115"/>
      <c r="M312" s="115"/>
      <c r="N312" s="115"/>
      <c r="O312" s="115"/>
    </row>
    <row r="313" spans="1:15" ht="18.75" customHeight="1" thickBot="1" x14ac:dyDescent="0.25">
      <c r="A313" s="238"/>
      <c r="B313" s="204"/>
      <c r="C313" s="68"/>
      <c r="D313" s="69" t="s">
        <v>7</v>
      </c>
      <c r="E313" s="70"/>
      <c r="F313" s="71">
        <v>7</v>
      </c>
      <c r="G313" s="207"/>
      <c r="H313" s="53"/>
      <c r="I313" s="54" t="s">
        <v>10</v>
      </c>
      <c r="J313" s="71">
        <v>7</v>
      </c>
      <c r="K313" s="72"/>
      <c r="L313" s="115"/>
      <c r="M313" s="115"/>
      <c r="N313" s="115"/>
      <c r="O313" s="115"/>
    </row>
    <row r="314" spans="1:15" ht="18" customHeight="1" x14ac:dyDescent="0.2">
      <c r="A314" s="237">
        <v>45364</v>
      </c>
      <c r="B314" s="208" t="s">
        <v>15</v>
      </c>
      <c r="C314" s="16"/>
      <c r="D314" s="16" t="s">
        <v>7</v>
      </c>
      <c r="E314" s="73"/>
      <c r="F314" s="74">
        <v>7</v>
      </c>
      <c r="G314" s="211" t="s">
        <v>15</v>
      </c>
      <c r="H314" s="75"/>
      <c r="I314" s="75" t="s">
        <v>10</v>
      </c>
      <c r="J314" s="74">
        <v>7</v>
      </c>
      <c r="K314" s="76"/>
      <c r="L314" s="115"/>
      <c r="M314" s="115"/>
      <c r="N314" s="115"/>
      <c r="O314" s="115"/>
    </row>
    <row r="315" spans="1:15" ht="18" customHeight="1" x14ac:dyDescent="0.2">
      <c r="A315" s="238"/>
      <c r="B315" s="209"/>
      <c r="C315" s="15"/>
      <c r="D315" s="16" t="s">
        <v>7</v>
      </c>
      <c r="E315" s="73"/>
      <c r="F315" s="74">
        <v>7</v>
      </c>
      <c r="G315" s="212"/>
      <c r="H315" s="77"/>
      <c r="I315" s="78" t="s">
        <v>10</v>
      </c>
      <c r="J315" s="74">
        <v>7</v>
      </c>
      <c r="K315" s="79"/>
      <c r="L315" s="115"/>
      <c r="M315" s="115"/>
      <c r="N315" s="115"/>
      <c r="O315" s="115"/>
    </row>
    <row r="316" spans="1:15" ht="18" customHeight="1" x14ac:dyDescent="0.2">
      <c r="A316" s="238"/>
      <c r="B316" s="209"/>
      <c r="C316" s="15"/>
      <c r="D316" s="16" t="s">
        <v>7</v>
      </c>
      <c r="E316" s="73"/>
      <c r="F316" s="74">
        <v>7</v>
      </c>
      <c r="G316" s="212"/>
      <c r="H316" s="77"/>
      <c r="I316" s="78" t="s">
        <v>10</v>
      </c>
      <c r="J316" s="74">
        <v>7</v>
      </c>
      <c r="K316" s="79"/>
      <c r="L316" s="115"/>
      <c r="M316" s="115"/>
      <c r="N316" s="115"/>
      <c r="O316" s="115"/>
    </row>
    <row r="317" spans="1:15" ht="18.75" customHeight="1" thickBot="1" x14ac:dyDescent="0.25">
      <c r="A317" s="238"/>
      <c r="B317" s="210"/>
      <c r="C317" s="80"/>
      <c r="D317" s="81" t="s">
        <v>7</v>
      </c>
      <c r="E317" s="82"/>
      <c r="F317" s="83">
        <v>7</v>
      </c>
      <c r="G317" s="213"/>
      <c r="H317" s="84"/>
      <c r="I317" s="85" t="s">
        <v>10</v>
      </c>
      <c r="J317" s="83">
        <v>7</v>
      </c>
      <c r="K317" s="86"/>
      <c r="L317" s="115"/>
      <c r="M317" s="115"/>
      <c r="N317" s="115"/>
      <c r="O317" s="115"/>
    </row>
    <row r="318" spans="1:15" ht="18" customHeight="1" x14ac:dyDescent="0.2">
      <c r="A318" s="237">
        <v>45365</v>
      </c>
      <c r="B318" s="214" t="s">
        <v>16</v>
      </c>
      <c r="C318" s="87"/>
      <c r="D318" s="87" t="s">
        <v>7</v>
      </c>
      <c r="E318" s="88"/>
      <c r="F318" s="89">
        <v>7</v>
      </c>
      <c r="G318" s="217" t="s">
        <v>16</v>
      </c>
      <c r="H318" s="90"/>
      <c r="I318" s="90" t="s">
        <v>10</v>
      </c>
      <c r="J318" s="89">
        <v>0</v>
      </c>
      <c r="K318" s="91"/>
      <c r="L318" s="115"/>
      <c r="M318" s="115"/>
      <c r="N318" s="115"/>
      <c r="O318" s="115"/>
    </row>
    <row r="319" spans="1:15" ht="18" customHeight="1" x14ac:dyDescent="0.2">
      <c r="A319" s="238"/>
      <c r="B319" s="215"/>
      <c r="C319" s="92"/>
      <c r="D319" s="93" t="s">
        <v>7</v>
      </c>
      <c r="E319" s="94"/>
      <c r="F319" s="95">
        <v>7</v>
      </c>
      <c r="G319" s="218"/>
      <c r="H319" s="96"/>
      <c r="I319" s="97" t="s">
        <v>10</v>
      </c>
      <c r="J319" s="95">
        <v>7</v>
      </c>
      <c r="K319" s="98"/>
      <c r="L319" s="115"/>
      <c r="M319" s="115"/>
      <c r="N319" s="115"/>
      <c r="O319" s="115"/>
    </row>
    <row r="320" spans="1:15" ht="18" customHeight="1" x14ac:dyDescent="0.2">
      <c r="A320" s="238"/>
      <c r="B320" s="215"/>
      <c r="C320" s="92"/>
      <c r="D320" s="93" t="s">
        <v>7</v>
      </c>
      <c r="E320" s="94"/>
      <c r="F320" s="95">
        <v>7</v>
      </c>
      <c r="G320" s="218"/>
      <c r="H320" s="96"/>
      <c r="I320" s="97" t="s">
        <v>10</v>
      </c>
      <c r="J320" s="95">
        <v>7</v>
      </c>
      <c r="K320" s="98"/>
      <c r="L320" s="115"/>
      <c r="M320" s="115"/>
      <c r="N320" s="115"/>
      <c r="O320" s="115"/>
    </row>
    <row r="321" spans="1:15" ht="18.75" customHeight="1" thickBot="1" x14ac:dyDescent="0.25">
      <c r="A321" s="238"/>
      <c r="B321" s="216"/>
      <c r="C321" s="99"/>
      <c r="D321" s="100" t="s">
        <v>7</v>
      </c>
      <c r="E321" s="101"/>
      <c r="F321" s="102">
        <v>7</v>
      </c>
      <c r="G321" s="219"/>
      <c r="H321" s="103"/>
      <c r="I321" s="104" t="s">
        <v>10</v>
      </c>
      <c r="J321" s="102">
        <v>7</v>
      </c>
      <c r="K321" s="105"/>
      <c r="L321" s="115"/>
      <c r="M321" s="115"/>
      <c r="N321" s="115"/>
      <c r="O321" s="115"/>
    </row>
    <row r="322" spans="1:15" ht="23.25" x14ac:dyDescent="0.35">
      <c r="A322" s="118"/>
      <c r="B322" s="106"/>
      <c r="C322" s="107"/>
      <c r="D322" s="194" t="s">
        <v>20</v>
      </c>
      <c r="E322" s="195"/>
      <c r="F322" s="108">
        <f>SUM(F298:F321)</f>
        <v>168</v>
      </c>
      <c r="G322" s="107"/>
      <c r="H322" s="185" t="s">
        <v>20</v>
      </c>
      <c r="I322" s="186"/>
      <c r="J322" s="108">
        <f>SUM(J298:J321)</f>
        <v>161</v>
      </c>
      <c r="K322" s="109"/>
      <c r="L322" s="115"/>
      <c r="M322" s="115"/>
      <c r="N322" s="115"/>
      <c r="O322" s="115"/>
    </row>
    <row r="323" spans="1:15" ht="24" thickBot="1" x14ac:dyDescent="0.4">
      <c r="A323" s="119"/>
      <c r="B323" s="110"/>
      <c r="C323" s="111"/>
      <c r="D323" s="187" t="s">
        <v>21</v>
      </c>
      <c r="E323" s="188"/>
      <c r="F323" s="112">
        <f>F322/240*1</f>
        <v>0.7</v>
      </c>
      <c r="G323" s="111"/>
      <c r="H323" s="189" t="s">
        <v>22</v>
      </c>
      <c r="I323" s="190"/>
      <c r="J323" s="113">
        <f>J322/240*1</f>
        <v>0.67083333333333328</v>
      </c>
      <c r="K323" s="114"/>
      <c r="L323" s="115"/>
      <c r="M323" s="115"/>
      <c r="N323" s="115"/>
      <c r="O323" s="115"/>
    </row>
    <row r="324" spans="1:15" ht="24" thickBot="1" x14ac:dyDescent="0.4">
      <c r="A324" s="120">
        <v>12</v>
      </c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</row>
    <row r="325" spans="1:15" ht="21" thickBot="1" x14ac:dyDescent="0.35">
      <c r="A325" s="244" t="s">
        <v>25</v>
      </c>
      <c r="B325" s="191" t="s">
        <v>0</v>
      </c>
      <c r="C325" s="192"/>
      <c r="D325" s="192"/>
      <c r="E325" s="192"/>
      <c r="F325" s="192"/>
      <c r="G325" s="192"/>
      <c r="H325" s="192"/>
      <c r="I325" s="192"/>
      <c r="J325" s="192"/>
      <c r="K325" s="193"/>
      <c r="L325" s="115"/>
      <c r="M325" s="115"/>
      <c r="N325" s="115"/>
      <c r="O325" s="115"/>
    </row>
    <row r="326" spans="1:15" ht="21" thickBot="1" x14ac:dyDescent="0.35">
      <c r="A326" s="245"/>
      <c r="B326" s="196" t="s">
        <v>17</v>
      </c>
      <c r="C326" s="197"/>
      <c r="D326" s="197"/>
      <c r="E326" s="197"/>
      <c r="F326" s="198"/>
      <c r="G326" s="199" t="s">
        <v>1</v>
      </c>
      <c r="H326" s="200"/>
      <c r="I326" s="200"/>
      <c r="J326" s="200"/>
      <c r="K326" s="201"/>
      <c r="L326" s="115"/>
      <c r="M326" s="115"/>
      <c r="N326" s="115"/>
      <c r="O326" s="115"/>
    </row>
    <row r="327" spans="1:15" ht="41.25" thickBot="1" x14ac:dyDescent="0.25">
      <c r="A327" s="246"/>
      <c r="B327" s="2" t="s">
        <v>2</v>
      </c>
      <c r="C327" s="3" t="s">
        <v>6</v>
      </c>
      <c r="D327" s="3" t="s">
        <v>7</v>
      </c>
      <c r="E327" s="3" t="s">
        <v>8</v>
      </c>
      <c r="F327" s="4" t="s">
        <v>19</v>
      </c>
      <c r="G327" s="5" t="s">
        <v>2</v>
      </c>
      <c r="H327" s="6" t="s">
        <v>3</v>
      </c>
      <c r="I327" s="6" t="s">
        <v>4</v>
      </c>
      <c r="J327" s="7" t="s">
        <v>18</v>
      </c>
      <c r="K327" s="8" t="s">
        <v>5</v>
      </c>
      <c r="L327" s="115"/>
      <c r="M327" s="115"/>
      <c r="N327" s="115"/>
      <c r="O327" s="115"/>
    </row>
    <row r="328" spans="1:15" ht="18" x14ac:dyDescent="0.2">
      <c r="A328" s="237">
        <v>45367</v>
      </c>
      <c r="B328" s="220" t="s">
        <v>9</v>
      </c>
      <c r="C328" s="9"/>
      <c r="D328" s="9" t="s">
        <v>7</v>
      </c>
      <c r="E328" s="10"/>
      <c r="F328" s="11">
        <v>7</v>
      </c>
      <c r="G328" s="223" t="s">
        <v>9</v>
      </c>
      <c r="H328" s="12"/>
      <c r="I328" s="12" t="s">
        <v>10</v>
      </c>
      <c r="J328" s="11">
        <v>7</v>
      </c>
      <c r="K328" s="13"/>
      <c r="L328" s="115"/>
      <c r="M328" s="115"/>
      <c r="N328" s="115"/>
      <c r="O328" s="115"/>
    </row>
    <row r="329" spans="1:15" ht="18" x14ac:dyDescent="0.2">
      <c r="A329" s="238"/>
      <c r="B329" s="221"/>
      <c r="C329" s="14"/>
      <c r="D329" s="9" t="s">
        <v>7</v>
      </c>
      <c r="E329" s="10"/>
      <c r="F329" s="11">
        <v>7</v>
      </c>
      <c r="G329" s="224"/>
      <c r="H329" s="15"/>
      <c r="I329" s="16" t="s">
        <v>10</v>
      </c>
      <c r="J329" s="11">
        <v>7</v>
      </c>
      <c r="K329" s="17"/>
      <c r="L329" s="115"/>
      <c r="M329" s="115"/>
      <c r="N329" s="115"/>
      <c r="O329" s="115"/>
    </row>
    <row r="330" spans="1:15" ht="18" x14ac:dyDescent="0.2">
      <c r="A330" s="238"/>
      <c r="B330" s="221"/>
      <c r="C330" s="14"/>
      <c r="D330" s="9" t="s">
        <v>7</v>
      </c>
      <c r="E330" s="10"/>
      <c r="F330" s="11">
        <v>7</v>
      </c>
      <c r="G330" s="224"/>
      <c r="H330" s="15"/>
      <c r="I330" s="16" t="s">
        <v>10</v>
      </c>
      <c r="J330" s="11">
        <v>7</v>
      </c>
      <c r="K330" s="17"/>
      <c r="L330" s="115"/>
      <c r="M330" s="115"/>
      <c r="N330" s="115"/>
      <c r="O330" s="115"/>
    </row>
    <row r="331" spans="1:15" ht="18.75" thickBot="1" x14ac:dyDescent="0.25">
      <c r="A331" s="238"/>
      <c r="B331" s="222"/>
      <c r="C331" s="18"/>
      <c r="D331" s="19" t="s">
        <v>7</v>
      </c>
      <c r="E331" s="20"/>
      <c r="F331" s="21">
        <v>7</v>
      </c>
      <c r="G331" s="225"/>
      <c r="H331" s="22"/>
      <c r="I331" s="23" t="s">
        <v>10</v>
      </c>
      <c r="J331" s="21">
        <v>7</v>
      </c>
      <c r="K331" s="24"/>
      <c r="L331" s="115"/>
      <c r="M331" s="115"/>
      <c r="N331" s="115"/>
      <c r="O331" s="115"/>
    </row>
    <row r="332" spans="1:15" ht="18" customHeight="1" x14ac:dyDescent="0.2">
      <c r="A332" s="237">
        <v>45368</v>
      </c>
      <c r="B332" s="226" t="s">
        <v>12</v>
      </c>
      <c r="C332" s="25"/>
      <c r="D332" s="25" t="s">
        <v>7</v>
      </c>
      <c r="E332" s="26"/>
      <c r="F332" s="27">
        <v>7</v>
      </c>
      <c r="G332" s="229" t="s">
        <v>12</v>
      </c>
      <c r="H332" s="28"/>
      <c r="I332" s="28" t="s">
        <v>10</v>
      </c>
      <c r="J332" s="27">
        <v>7</v>
      </c>
      <c r="K332" s="29"/>
      <c r="L332" s="115"/>
      <c r="M332" s="115"/>
      <c r="N332" s="115"/>
      <c r="O332" s="115"/>
    </row>
    <row r="333" spans="1:15" ht="18" customHeight="1" x14ac:dyDescent="0.2">
      <c r="A333" s="238"/>
      <c r="B333" s="227"/>
      <c r="C333" s="30"/>
      <c r="D333" s="31" t="s">
        <v>7</v>
      </c>
      <c r="E333" s="32"/>
      <c r="F333" s="33">
        <v>7</v>
      </c>
      <c r="G333" s="230"/>
      <c r="H333" s="34"/>
      <c r="I333" s="35" t="s">
        <v>10</v>
      </c>
      <c r="J333" s="33">
        <v>7</v>
      </c>
      <c r="K333" s="36"/>
      <c r="L333" s="115"/>
      <c r="M333" s="115"/>
      <c r="N333" s="115"/>
      <c r="O333" s="115"/>
    </row>
    <row r="334" spans="1:15" ht="18" customHeight="1" x14ac:dyDescent="0.2">
      <c r="A334" s="238"/>
      <c r="B334" s="227"/>
      <c r="C334" s="30"/>
      <c r="D334" s="31" t="s">
        <v>7</v>
      </c>
      <c r="E334" s="32"/>
      <c r="F334" s="33">
        <v>7</v>
      </c>
      <c r="G334" s="230"/>
      <c r="H334" s="34"/>
      <c r="I334" s="35" t="s">
        <v>10</v>
      </c>
      <c r="J334" s="33">
        <v>7</v>
      </c>
      <c r="K334" s="36"/>
      <c r="L334" s="115"/>
      <c r="M334" s="115"/>
      <c r="N334" s="115"/>
      <c r="O334" s="115"/>
    </row>
    <row r="335" spans="1:15" ht="18.75" customHeight="1" thickBot="1" x14ac:dyDescent="0.25">
      <c r="A335" s="238"/>
      <c r="B335" s="228"/>
      <c r="C335" s="37"/>
      <c r="D335" s="38" t="s">
        <v>7</v>
      </c>
      <c r="E335" s="39"/>
      <c r="F335" s="40">
        <v>7</v>
      </c>
      <c r="G335" s="231"/>
      <c r="H335" s="41"/>
      <c r="I335" s="42" t="s">
        <v>10</v>
      </c>
      <c r="J335" s="40">
        <v>7</v>
      </c>
      <c r="K335" s="43"/>
      <c r="L335" s="115"/>
      <c r="M335" s="115"/>
      <c r="N335" s="115"/>
      <c r="O335" s="115"/>
    </row>
    <row r="336" spans="1:15" ht="18" customHeight="1" x14ac:dyDescent="0.2">
      <c r="A336" s="237">
        <v>45369</v>
      </c>
      <c r="B336" s="232" t="s">
        <v>13</v>
      </c>
      <c r="C336" s="44"/>
      <c r="D336" s="44" t="s">
        <v>7</v>
      </c>
      <c r="E336" s="45"/>
      <c r="F336" s="46">
        <v>7</v>
      </c>
      <c r="G336" s="185" t="s">
        <v>13</v>
      </c>
      <c r="H336" s="47"/>
      <c r="I336" s="47" t="s">
        <v>10</v>
      </c>
      <c r="J336" s="46">
        <v>7</v>
      </c>
      <c r="K336" s="48"/>
      <c r="L336" s="115"/>
      <c r="M336" s="115"/>
      <c r="N336" s="115"/>
      <c r="O336" s="115"/>
    </row>
    <row r="337" spans="1:15" ht="18" customHeight="1" x14ac:dyDescent="0.2">
      <c r="A337" s="238"/>
      <c r="B337" s="233"/>
      <c r="C337" s="49"/>
      <c r="D337" s="44" t="s">
        <v>7</v>
      </c>
      <c r="E337" s="45"/>
      <c r="F337" s="46">
        <v>7</v>
      </c>
      <c r="G337" s="235"/>
      <c r="H337" s="50"/>
      <c r="I337" s="51" t="s">
        <v>10</v>
      </c>
      <c r="J337" s="46">
        <v>7</v>
      </c>
      <c r="K337" s="52"/>
      <c r="L337" s="115"/>
      <c r="M337" s="115"/>
      <c r="N337" s="115"/>
      <c r="O337" s="115"/>
    </row>
    <row r="338" spans="1:15" ht="18" customHeight="1" x14ac:dyDescent="0.2">
      <c r="A338" s="238"/>
      <c r="B338" s="233"/>
      <c r="C338" s="49"/>
      <c r="D338" s="44" t="s">
        <v>7</v>
      </c>
      <c r="E338" s="45"/>
      <c r="F338" s="46">
        <v>7</v>
      </c>
      <c r="G338" s="235"/>
      <c r="H338" s="50"/>
      <c r="I338" s="51" t="s">
        <v>10</v>
      </c>
      <c r="J338" s="46">
        <v>7</v>
      </c>
      <c r="K338" s="52"/>
      <c r="L338" s="115"/>
      <c r="M338" s="115"/>
      <c r="N338" s="115"/>
      <c r="O338" s="115"/>
    </row>
    <row r="339" spans="1:15" ht="18.75" customHeight="1" thickBot="1" x14ac:dyDescent="0.25">
      <c r="A339" s="238"/>
      <c r="B339" s="234"/>
      <c r="C339" s="53"/>
      <c r="D339" s="54" t="s">
        <v>7</v>
      </c>
      <c r="E339" s="55"/>
      <c r="F339" s="56">
        <v>7</v>
      </c>
      <c r="G339" s="236"/>
      <c r="H339" s="57"/>
      <c r="I339" s="58" t="s">
        <v>10</v>
      </c>
      <c r="J339" s="56">
        <v>7</v>
      </c>
      <c r="K339" s="59"/>
      <c r="L339" s="115"/>
      <c r="M339" s="115"/>
      <c r="N339" s="115"/>
      <c r="O339" s="115"/>
    </row>
    <row r="340" spans="1:15" ht="18" customHeight="1" x14ac:dyDescent="0.2">
      <c r="A340" s="237">
        <v>45370</v>
      </c>
      <c r="B340" s="202" t="s">
        <v>14</v>
      </c>
      <c r="C340" s="60"/>
      <c r="D340" s="60" t="s">
        <v>7</v>
      </c>
      <c r="E340" s="61"/>
      <c r="F340" s="62">
        <v>7</v>
      </c>
      <c r="G340" s="205" t="s">
        <v>14</v>
      </c>
      <c r="H340" s="44"/>
      <c r="I340" s="44" t="s">
        <v>10</v>
      </c>
      <c r="J340" s="62">
        <v>7</v>
      </c>
      <c r="K340" s="45"/>
      <c r="L340" s="115"/>
      <c r="M340" s="115"/>
      <c r="N340" s="115"/>
      <c r="O340" s="115"/>
    </row>
    <row r="341" spans="1:15" ht="18" customHeight="1" x14ac:dyDescent="0.2">
      <c r="A341" s="238"/>
      <c r="B341" s="203"/>
      <c r="C341" s="63"/>
      <c r="D341" s="64" t="s">
        <v>7</v>
      </c>
      <c r="E341" s="65"/>
      <c r="F341" s="66">
        <v>7</v>
      </c>
      <c r="G341" s="206"/>
      <c r="H341" s="49"/>
      <c r="I341" s="44" t="s">
        <v>10</v>
      </c>
      <c r="J341" s="66">
        <v>7</v>
      </c>
      <c r="K341" s="67"/>
      <c r="L341" s="115"/>
      <c r="M341" s="115"/>
      <c r="N341" s="115"/>
      <c r="O341" s="115"/>
    </row>
    <row r="342" spans="1:15" ht="18" customHeight="1" x14ac:dyDescent="0.2">
      <c r="A342" s="238"/>
      <c r="B342" s="203"/>
      <c r="C342" s="63"/>
      <c r="D342" s="64" t="s">
        <v>7</v>
      </c>
      <c r="E342" s="65"/>
      <c r="F342" s="66">
        <v>7</v>
      </c>
      <c r="G342" s="206"/>
      <c r="H342" s="49"/>
      <c r="I342" s="44" t="s">
        <v>10</v>
      </c>
      <c r="J342" s="66">
        <v>7</v>
      </c>
      <c r="K342" s="67"/>
      <c r="L342" s="115"/>
      <c r="M342" s="115"/>
      <c r="N342" s="115"/>
      <c r="O342" s="115"/>
    </row>
    <row r="343" spans="1:15" ht="18.75" customHeight="1" thickBot="1" x14ac:dyDescent="0.25">
      <c r="A343" s="238"/>
      <c r="B343" s="204"/>
      <c r="C343" s="68"/>
      <c r="D343" s="69" t="s">
        <v>7</v>
      </c>
      <c r="E343" s="70"/>
      <c r="F343" s="71">
        <v>7</v>
      </c>
      <c r="G343" s="207"/>
      <c r="H343" s="53"/>
      <c r="I343" s="54" t="s">
        <v>10</v>
      </c>
      <c r="J343" s="71">
        <v>7</v>
      </c>
      <c r="K343" s="72"/>
      <c r="L343" s="115"/>
      <c r="M343" s="115"/>
      <c r="N343" s="115"/>
      <c r="O343" s="115"/>
    </row>
    <row r="344" spans="1:15" ht="18" customHeight="1" x14ac:dyDescent="0.2">
      <c r="A344" s="237">
        <v>45371</v>
      </c>
      <c r="B344" s="208" t="s">
        <v>15</v>
      </c>
      <c r="C344" s="16"/>
      <c r="D344" s="16" t="s">
        <v>7</v>
      </c>
      <c r="E344" s="73"/>
      <c r="F344" s="74">
        <v>7</v>
      </c>
      <c r="G344" s="211" t="s">
        <v>15</v>
      </c>
      <c r="H344" s="75"/>
      <c r="I344" s="75" t="s">
        <v>10</v>
      </c>
      <c r="J344" s="74">
        <v>7</v>
      </c>
      <c r="K344" s="76"/>
      <c r="L344" s="115"/>
      <c r="M344" s="115"/>
      <c r="N344" s="115"/>
      <c r="O344" s="115"/>
    </row>
    <row r="345" spans="1:15" ht="18" customHeight="1" x14ac:dyDescent="0.2">
      <c r="A345" s="238"/>
      <c r="B345" s="209"/>
      <c r="C345" s="15"/>
      <c r="D345" s="16" t="s">
        <v>7</v>
      </c>
      <c r="E345" s="73"/>
      <c r="F345" s="74">
        <v>7</v>
      </c>
      <c r="G345" s="212"/>
      <c r="H345" s="77"/>
      <c r="I345" s="78" t="s">
        <v>10</v>
      </c>
      <c r="J345" s="74">
        <v>7</v>
      </c>
      <c r="K345" s="79"/>
      <c r="L345" s="115"/>
      <c r="M345" s="115"/>
      <c r="N345" s="115"/>
      <c r="O345" s="115"/>
    </row>
    <row r="346" spans="1:15" ht="18" customHeight="1" x14ac:dyDescent="0.2">
      <c r="A346" s="238"/>
      <c r="B346" s="209"/>
      <c r="C346" s="15"/>
      <c r="D346" s="16" t="s">
        <v>7</v>
      </c>
      <c r="E346" s="73"/>
      <c r="F346" s="74">
        <v>7</v>
      </c>
      <c r="G346" s="212"/>
      <c r="H346" s="77"/>
      <c r="I346" s="78" t="s">
        <v>10</v>
      </c>
      <c r="J346" s="74">
        <v>7</v>
      </c>
      <c r="K346" s="79"/>
      <c r="L346" s="115"/>
      <c r="M346" s="115"/>
      <c r="N346" s="115"/>
      <c r="O346" s="115"/>
    </row>
    <row r="347" spans="1:15" ht="18.75" customHeight="1" thickBot="1" x14ac:dyDescent="0.25">
      <c r="A347" s="238"/>
      <c r="B347" s="210"/>
      <c r="C347" s="80"/>
      <c r="D347" s="81" t="s">
        <v>7</v>
      </c>
      <c r="E347" s="82"/>
      <c r="F347" s="83">
        <v>7</v>
      </c>
      <c r="G347" s="213"/>
      <c r="H347" s="84"/>
      <c r="I347" s="85" t="s">
        <v>10</v>
      </c>
      <c r="J347" s="83">
        <v>7</v>
      </c>
      <c r="K347" s="86"/>
      <c r="L347" s="115"/>
      <c r="M347" s="115"/>
      <c r="N347" s="115"/>
      <c r="O347" s="115"/>
    </row>
    <row r="348" spans="1:15" ht="18" customHeight="1" x14ac:dyDescent="0.2">
      <c r="A348" s="237">
        <v>45372</v>
      </c>
      <c r="B348" s="214" t="s">
        <v>16</v>
      </c>
      <c r="C348" s="87"/>
      <c r="D348" s="87" t="s">
        <v>7</v>
      </c>
      <c r="E348" s="88"/>
      <c r="F348" s="89">
        <v>7</v>
      </c>
      <c r="G348" s="217" t="s">
        <v>16</v>
      </c>
      <c r="H348" s="90"/>
      <c r="I348" s="90" t="s">
        <v>10</v>
      </c>
      <c r="J348" s="89">
        <v>0</v>
      </c>
      <c r="K348" s="91"/>
      <c r="L348" s="115"/>
      <c r="M348" s="115"/>
      <c r="N348" s="115"/>
      <c r="O348" s="115"/>
    </row>
    <row r="349" spans="1:15" ht="18" customHeight="1" x14ac:dyDescent="0.2">
      <c r="A349" s="238"/>
      <c r="B349" s="215"/>
      <c r="C349" s="92"/>
      <c r="D349" s="93" t="s">
        <v>7</v>
      </c>
      <c r="E349" s="94"/>
      <c r="F349" s="95">
        <v>7</v>
      </c>
      <c r="G349" s="218"/>
      <c r="H349" s="96"/>
      <c r="I349" s="97" t="s">
        <v>10</v>
      </c>
      <c r="J349" s="95">
        <v>7</v>
      </c>
      <c r="K349" s="98"/>
      <c r="L349" s="115"/>
      <c r="M349" s="115"/>
      <c r="N349" s="115"/>
      <c r="O349" s="115"/>
    </row>
    <row r="350" spans="1:15" ht="18" customHeight="1" x14ac:dyDescent="0.2">
      <c r="A350" s="238"/>
      <c r="B350" s="215"/>
      <c r="C350" s="92"/>
      <c r="D350" s="93" t="s">
        <v>7</v>
      </c>
      <c r="E350" s="94"/>
      <c r="F350" s="95">
        <v>7</v>
      </c>
      <c r="G350" s="218"/>
      <c r="H350" s="96"/>
      <c r="I350" s="97" t="s">
        <v>10</v>
      </c>
      <c r="J350" s="95">
        <v>7</v>
      </c>
      <c r="K350" s="98"/>
      <c r="L350" s="115"/>
      <c r="M350" s="115"/>
      <c r="N350" s="115"/>
      <c r="O350" s="115"/>
    </row>
    <row r="351" spans="1:15" ht="18.75" customHeight="1" thickBot="1" x14ac:dyDescent="0.25">
      <c r="A351" s="238"/>
      <c r="B351" s="216"/>
      <c r="C351" s="99"/>
      <c r="D351" s="100" t="s">
        <v>7</v>
      </c>
      <c r="E351" s="101"/>
      <c r="F351" s="102">
        <v>7</v>
      </c>
      <c r="G351" s="219"/>
      <c r="H351" s="103"/>
      <c r="I351" s="104" t="s">
        <v>10</v>
      </c>
      <c r="J351" s="102">
        <v>7</v>
      </c>
      <c r="K351" s="105"/>
      <c r="L351" s="115"/>
      <c r="M351" s="115"/>
      <c r="N351" s="115"/>
      <c r="O351" s="115"/>
    </row>
    <row r="352" spans="1:15" ht="23.25" x14ac:dyDescent="0.35">
      <c r="A352" s="118"/>
      <c r="B352" s="106"/>
      <c r="C352" s="107"/>
      <c r="D352" s="194" t="s">
        <v>20</v>
      </c>
      <c r="E352" s="195"/>
      <c r="F352" s="108">
        <f>SUM(F328:F351)</f>
        <v>168</v>
      </c>
      <c r="G352" s="107"/>
      <c r="H352" s="185" t="s">
        <v>20</v>
      </c>
      <c r="I352" s="186"/>
      <c r="J352" s="108">
        <f>SUM(J328:J351)</f>
        <v>161</v>
      </c>
      <c r="K352" s="109"/>
      <c r="L352" s="115"/>
      <c r="M352" s="115"/>
      <c r="N352" s="115"/>
      <c r="O352" s="115"/>
    </row>
    <row r="353" spans="1:15" ht="24" thickBot="1" x14ac:dyDescent="0.4">
      <c r="A353" s="119"/>
      <c r="B353" s="110"/>
      <c r="C353" s="111"/>
      <c r="D353" s="187" t="s">
        <v>21</v>
      </c>
      <c r="E353" s="188"/>
      <c r="F353" s="112">
        <f>F352/240*1</f>
        <v>0.7</v>
      </c>
      <c r="G353" s="111"/>
      <c r="H353" s="189" t="s">
        <v>22</v>
      </c>
      <c r="I353" s="190"/>
      <c r="J353" s="113">
        <f>J352/240*1</f>
        <v>0.67083333333333328</v>
      </c>
      <c r="K353" s="114"/>
      <c r="L353" s="115"/>
      <c r="M353" s="115"/>
      <c r="N353" s="115"/>
      <c r="O353" s="115"/>
    </row>
    <row r="354" spans="1:15" ht="24" thickBot="1" x14ac:dyDescent="0.4">
      <c r="A354" s="120">
        <v>13</v>
      </c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</row>
    <row r="355" spans="1:15" ht="21" thickBot="1" x14ac:dyDescent="0.35">
      <c r="A355" s="244" t="s">
        <v>25</v>
      </c>
      <c r="B355" s="191" t="s">
        <v>0</v>
      </c>
      <c r="C355" s="192"/>
      <c r="D355" s="192"/>
      <c r="E355" s="192"/>
      <c r="F355" s="192"/>
      <c r="G355" s="192"/>
      <c r="H355" s="192"/>
      <c r="I355" s="192"/>
      <c r="J355" s="192"/>
      <c r="K355" s="193"/>
      <c r="L355" s="115"/>
      <c r="M355" s="115"/>
      <c r="N355" s="115"/>
      <c r="O355" s="115"/>
    </row>
    <row r="356" spans="1:15" ht="21" thickBot="1" x14ac:dyDescent="0.35">
      <c r="A356" s="245"/>
      <c r="B356" s="196" t="s">
        <v>17</v>
      </c>
      <c r="C356" s="197"/>
      <c r="D356" s="197"/>
      <c r="E356" s="197"/>
      <c r="F356" s="198"/>
      <c r="G356" s="199" t="s">
        <v>1</v>
      </c>
      <c r="H356" s="200"/>
      <c r="I356" s="200"/>
      <c r="J356" s="200"/>
      <c r="K356" s="201"/>
      <c r="L356" s="115"/>
      <c r="M356" s="115"/>
      <c r="N356" s="115"/>
      <c r="O356" s="115"/>
    </row>
    <row r="357" spans="1:15" ht="41.25" thickBot="1" x14ac:dyDescent="0.25">
      <c r="A357" s="246"/>
      <c r="B357" s="2" t="s">
        <v>2</v>
      </c>
      <c r="C357" s="3" t="s">
        <v>6</v>
      </c>
      <c r="D357" s="3" t="s">
        <v>7</v>
      </c>
      <c r="E357" s="3" t="s">
        <v>8</v>
      </c>
      <c r="F357" s="4" t="s">
        <v>19</v>
      </c>
      <c r="G357" s="5" t="s">
        <v>2</v>
      </c>
      <c r="H357" s="6" t="s">
        <v>3</v>
      </c>
      <c r="I357" s="6" t="s">
        <v>4</v>
      </c>
      <c r="J357" s="7" t="s">
        <v>18</v>
      </c>
      <c r="K357" s="8" t="s">
        <v>5</v>
      </c>
      <c r="L357" s="115"/>
      <c r="M357" s="115"/>
      <c r="N357" s="115"/>
      <c r="O357" s="115"/>
    </row>
    <row r="358" spans="1:15" ht="18" x14ac:dyDescent="0.2">
      <c r="A358" s="237">
        <v>45374</v>
      </c>
      <c r="B358" s="220" t="s">
        <v>9</v>
      </c>
      <c r="C358" s="9"/>
      <c r="D358" s="9" t="s">
        <v>7</v>
      </c>
      <c r="E358" s="10"/>
      <c r="F358" s="11">
        <v>7</v>
      </c>
      <c r="G358" s="223" t="s">
        <v>9</v>
      </c>
      <c r="H358" s="12"/>
      <c r="I358" s="12" t="s">
        <v>10</v>
      </c>
      <c r="J358" s="11">
        <v>7</v>
      </c>
      <c r="K358" s="13"/>
      <c r="L358" s="115"/>
      <c r="M358" s="115"/>
      <c r="N358" s="115"/>
      <c r="O358" s="115"/>
    </row>
    <row r="359" spans="1:15" ht="18" x14ac:dyDescent="0.2">
      <c r="A359" s="238"/>
      <c r="B359" s="221"/>
      <c r="C359" s="14"/>
      <c r="D359" s="9" t="s">
        <v>7</v>
      </c>
      <c r="E359" s="10"/>
      <c r="F359" s="11">
        <v>7</v>
      </c>
      <c r="G359" s="224"/>
      <c r="H359" s="15"/>
      <c r="I359" s="16" t="s">
        <v>10</v>
      </c>
      <c r="J359" s="11">
        <v>7</v>
      </c>
      <c r="K359" s="17"/>
      <c r="L359" s="115"/>
      <c r="M359" s="115"/>
      <c r="N359" s="115"/>
      <c r="O359" s="115"/>
    </row>
    <row r="360" spans="1:15" ht="18" x14ac:dyDescent="0.2">
      <c r="A360" s="238"/>
      <c r="B360" s="221"/>
      <c r="C360" s="14"/>
      <c r="D360" s="9" t="s">
        <v>7</v>
      </c>
      <c r="E360" s="10"/>
      <c r="F360" s="11">
        <v>7</v>
      </c>
      <c r="G360" s="224"/>
      <c r="H360" s="15"/>
      <c r="I360" s="16" t="s">
        <v>10</v>
      </c>
      <c r="J360" s="11">
        <v>7</v>
      </c>
      <c r="K360" s="17"/>
      <c r="L360" s="115"/>
      <c r="M360" s="115"/>
      <c r="N360" s="115"/>
      <c r="O360" s="115"/>
    </row>
    <row r="361" spans="1:15" ht="18.75" thickBot="1" x14ac:dyDescent="0.25">
      <c r="A361" s="238"/>
      <c r="B361" s="222"/>
      <c r="C361" s="18"/>
      <c r="D361" s="19" t="s">
        <v>7</v>
      </c>
      <c r="E361" s="20"/>
      <c r="F361" s="21">
        <v>7</v>
      </c>
      <c r="G361" s="225"/>
      <c r="H361" s="22"/>
      <c r="I361" s="23" t="s">
        <v>10</v>
      </c>
      <c r="J361" s="21">
        <v>7</v>
      </c>
      <c r="K361" s="24"/>
      <c r="L361" s="115"/>
      <c r="M361" s="115"/>
      <c r="N361" s="115"/>
      <c r="O361" s="115"/>
    </row>
    <row r="362" spans="1:15" ht="18" customHeight="1" x14ac:dyDescent="0.2">
      <c r="A362" s="237">
        <v>45375</v>
      </c>
      <c r="B362" s="226" t="s">
        <v>12</v>
      </c>
      <c r="C362" s="25"/>
      <c r="D362" s="25" t="s">
        <v>7</v>
      </c>
      <c r="E362" s="26"/>
      <c r="F362" s="27">
        <v>7</v>
      </c>
      <c r="G362" s="229" t="s">
        <v>12</v>
      </c>
      <c r="H362" s="28"/>
      <c r="I362" s="28" t="s">
        <v>10</v>
      </c>
      <c r="J362" s="27">
        <v>7</v>
      </c>
      <c r="K362" s="29"/>
      <c r="L362" s="115"/>
      <c r="M362" s="115"/>
      <c r="N362" s="115"/>
      <c r="O362" s="115"/>
    </row>
    <row r="363" spans="1:15" ht="18" customHeight="1" x14ac:dyDescent="0.2">
      <c r="A363" s="238"/>
      <c r="B363" s="227"/>
      <c r="C363" s="30"/>
      <c r="D363" s="31" t="s">
        <v>7</v>
      </c>
      <c r="E363" s="32"/>
      <c r="F363" s="33">
        <v>7</v>
      </c>
      <c r="G363" s="230"/>
      <c r="H363" s="34"/>
      <c r="I363" s="35" t="s">
        <v>10</v>
      </c>
      <c r="J363" s="33">
        <v>7</v>
      </c>
      <c r="K363" s="36"/>
      <c r="L363" s="115"/>
      <c r="M363" s="115"/>
      <c r="N363" s="115"/>
      <c r="O363" s="115"/>
    </row>
    <row r="364" spans="1:15" ht="18" customHeight="1" x14ac:dyDescent="0.2">
      <c r="A364" s="238"/>
      <c r="B364" s="227"/>
      <c r="C364" s="30"/>
      <c r="D364" s="31" t="s">
        <v>7</v>
      </c>
      <c r="E364" s="32"/>
      <c r="F364" s="33">
        <v>7</v>
      </c>
      <c r="G364" s="230"/>
      <c r="H364" s="34"/>
      <c r="I364" s="35" t="s">
        <v>10</v>
      </c>
      <c r="J364" s="33">
        <v>7</v>
      </c>
      <c r="K364" s="36"/>
      <c r="L364" s="115"/>
      <c r="M364" s="115"/>
      <c r="N364" s="115"/>
      <c r="O364" s="115"/>
    </row>
    <row r="365" spans="1:15" ht="18.75" customHeight="1" thickBot="1" x14ac:dyDescent="0.25">
      <c r="A365" s="238"/>
      <c r="B365" s="228"/>
      <c r="C365" s="37"/>
      <c r="D365" s="38" t="s">
        <v>7</v>
      </c>
      <c r="E365" s="39"/>
      <c r="F365" s="40">
        <v>7</v>
      </c>
      <c r="G365" s="231"/>
      <c r="H365" s="41"/>
      <c r="I365" s="42" t="s">
        <v>10</v>
      </c>
      <c r="J365" s="40">
        <v>7</v>
      </c>
      <c r="K365" s="43"/>
      <c r="L365" s="115"/>
      <c r="M365" s="115"/>
      <c r="N365" s="115"/>
      <c r="O365" s="115"/>
    </row>
    <row r="366" spans="1:15" ht="18" customHeight="1" x14ac:dyDescent="0.2">
      <c r="A366" s="237">
        <v>45376</v>
      </c>
      <c r="B366" s="232" t="s">
        <v>13</v>
      </c>
      <c r="C366" s="44"/>
      <c r="D366" s="44" t="s">
        <v>7</v>
      </c>
      <c r="E366" s="45"/>
      <c r="F366" s="46">
        <v>7</v>
      </c>
      <c r="G366" s="185" t="s">
        <v>13</v>
      </c>
      <c r="H366" s="47"/>
      <c r="I366" s="47" t="s">
        <v>10</v>
      </c>
      <c r="J366" s="46">
        <v>7</v>
      </c>
      <c r="K366" s="48"/>
      <c r="L366" s="115"/>
      <c r="M366" s="115"/>
      <c r="N366" s="115"/>
      <c r="O366" s="115"/>
    </row>
    <row r="367" spans="1:15" ht="18" customHeight="1" x14ac:dyDescent="0.2">
      <c r="A367" s="238"/>
      <c r="B367" s="233"/>
      <c r="C367" s="49"/>
      <c r="D367" s="44" t="s">
        <v>7</v>
      </c>
      <c r="E367" s="45"/>
      <c r="F367" s="46">
        <v>7</v>
      </c>
      <c r="G367" s="235"/>
      <c r="H367" s="50"/>
      <c r="I367" s="51" t="s">
        <v>10</v>
      </c>
      <c r="J367" s="46">
        <v>7</v>
      </c>
      <c r="K367" s="52"/>
      <c r="L367" s="115"/>
      <c r="M367" s="115"/>
      <c r="N367" s="115"/>
      <c r="O367" s="115"/>
    </row>
    <row r="368" spans="1:15" ht="18" customHeight="1" x14ac:dyDescent="0.2">
      <c r="A368" s="238"/>
      <c r="B368" s="233"/>
      <c r="C368" s="49"/>
      <c r="D368" s="44" t="s">
        <v>7</v>
      </c>
      <c r="E368" s="45"/>
      <c r="F368" s="46">
        <v>7</v>
      </c>
      <c r="G368" s="235"/>
      <c r="H368" s="50"/>
      <c r="I368" s="51" t="s">
        <v>10</v>
      </c>
      <c r="J368" s="46">
        <v>7</v>
      </c>
      <c r="K368" s="52"/>
      <c r="L368" s="115"/>
      <c r="M368" s="115"/>
      <c r="N368" s="115"/>
      <c r="O368" s="115"/>
    </row>
    <row r="369" spans="1:15" ht="18.75" customHeight="1" thickBot="1" x14ac:dyDescent="0.25">
      <c r="A369" s="238"/>
      <c r="B369" s="234"/>
      <c r="C369" s="53"/>
      <c r="D369" s="54" t="s">
        <v>7</v>
      </c>
      <c r="E369" s="55"/>
      <c r="F369" s="56">
        <v>7</v>
      </c>
      <c r="G369" s="236"/>
      <c r="H369" s="57"/>
      <c r="I369" s="58" t="s">
        <v>10</v>
      </c>
      <c r="J369" s="56">
        <v>7</v>
      </c>
      <c r="K369" s="59"/>
      <c r="L369" s="115"/>
      <c r="M369" s="115"/>
      <c r="N369" s="115"/>
      <c r="O369" s="115"/>
    </row>
    <row r="370" spans="1:15" ht="18" customHeight="1" x14ac:dyDescent="0.2">
      <c r="A370" s="237">
        <v>45377</v>
      </c>
      <c r="B370" s="202" t="s">
        <v>14</v>
      </c>
      <c r="C370" s="60"/>
      <c r="D370" s="60" t="s">
        <v>7</v>
      </c>
      <c r="E370" s="61"/>
      <c r="F370" s="62">
        <v>7</v>
      </c>
      <c r="G370" s="205" t="s">
        <v>14</v>
      </c>
      <c r="H370" s="44"/>
      <c r="I370" s="44" t="s">
        <v>10</v>
      </c>
      <c r="J370" s="62">
        <v>7</v>
      </c>
      <c r="K370" s="45"/>
      <c r="L370" s="115"/>
      <c r="M370" s="115"/>
      <c r="N370" s="115"/>
      <c r="O370" s="115"/>
    </row>
    <row r="371" spans="1:15" ht="18" customHeight="1" x14ac:dyDescent="0.2">
      <c r="A371" s="238"/>
      <c r="B371" s="203"/>
      <c r="C371" s="63"/>
      <c r="D371" s="64" t="s">
        <v>7</v>
      </c>
      <c r="E371" s="65"/>
      <c r="F371" s="66">
        <v>7</v>
      </c>
      <c r="G371" s="206"/>
      <c r="H371" s="49"/>
      <c r="I371" s="44" t="s">
        <v>10</v>
      </c>
      <c r="J371" s="66">
        <v>7</v>
      </c>
      <c r="K371" s="67"/>
      <c r="L371" s="115"/>
      <c r="M371" s="115"/>
      <c r="N371" s="115"/>
      <c r="O371" s="115"/>
    </row>
    <row r="372" spans="1:15" ht="18" customHeight="1" x14ac:dyDescent="0.2">
      <c r="A372" s="238"/>
      <c r="B372" s="203"/>
      <c r="C372" s="63"/>
      <c r="D372" s="64" t="s">
        <v>7</v>
      </c>
      <c r="E372" s="65"/>
      <c r="F372" s="66">
        <v>7</v>
      </c>
      <c r="G372" s="206"/>
      <c r="H372" s="49"/>
      <c r="I372" s="44" t="s">
        <v>10</v>
      </c>
      <c r="J372" s="66">
        <v>7</v>
      </c>
      <c r="K372" s="67"/>
      <c r="L372" s="115"/>
      <c r="M372" s="115"/>
      <c r="N372" s="115"/>
      <c r="O372" s="115"/>
    </row>
    <row r="373" spans="1:15" ht="18.75" customHeight="1" thickBot="1" x14ac:dyDescent="0.25">
      <c r="A373" s="238"/>
      <c r="B373" s="204"/>
      <c r="C373" s="68"/>
      <c r="D373" s="69" t="s">
        <v>7</v>
      </c>
      <c r="E373" s="70"/>
      <c r="F373" s="71">
        <v>7</v>
      </c>
      <c r="G373" s="207"/>
      <c r="H373" s="53"/>
      <c r="I373" s="54" t="s">
        <v>10</v>
      </c>
      <c r="J373" s="71">
        <v>7</v>
      </c>
      <c r="K373" s="72"/>
      <c r="L373" s="115"/>
      <c r="M373" s="115"/>
      <c r="N373" s="115"/>
      <c r="O373" s="115"/>
    </row>
    <row r="374" spans="1:15" ht="18" customHeight="1" x14ac:dyDescent="0.2">
      <c r="A374" s="237">
        <v>45378</v>
      </c>
      <c r="B374" s="208" t="s">
        <v>15</v>
      </c>
      <c r="C374" s="16"/>
      <c r="D374" s="16" t="s">
        <v>7</v>
      </c>
      <c r="E374" s="73"/>
      <c r="F374" s="74">
        <v>7</v>
      </c>
      <c r="G374" s="211" t="s">
        <v>15</v>
      </c>
      <c r="H374" s="75"/>
      <c r="I374" s="75" t="s">
        <v>10</v>
      </c>
      <c r="J374" s="74">
        <v>7</v>
      </c>
      <c r="K374" s="76"/>
      <c r="L374" s="115"/>
      <c r="M374" s="115"/>
      <c r="N374" s="115"/>
      <c r="O374" s="115"/>
    </row>
    <row r="375" spans="1:15" ht="18" customHeight="1" x14ac:dyDescent="0.2">
      <c r="A375" s="238"/>
      <c r="B375" s="209"/>
      <c r="C375" s="15"/>
      <c r="D375" s="16" t="s">
        <v>7</v>
      </c>
      <c r="E375" s="73"/>
      <c r="F375" s="74">
        <v>7</v>
      </c>
      <c r="G375" s="212"/>
      <c r="H375" s="77"/>
      <c r="I375" s="78" t="s">
        <v>10</v>
      </c>
      <c r="J375" s="74">
        <v>7</v>
      </c>
      <c r="K375" s="79"/>
      <c r="L375" s="115"/>
      <c r="M375" s="115"/>
      <c r="N375" s="115"/>
      <c r="O375" s="115"/>
    </row>
    <row r="376" spans="1:15" ht="18" customHeight="1" x14ac:dyDescent="0.2">
      <c r="A376" s="238"/>
      <c r="B376" s="209"/>
      <c r="C376" s="15"/>
      <c r="D376" s="16" t="s">
        <v>7</v>
      </c>
      <c r="E376" s="73"/>
      <c r="F376" s="74">
        <v>7</v>
      </c>
      <c r="G376" s="212"/>
      <c r="H376" s="77"/>
      <c r="I376" s="78" t="s">
        <v>10</v>
      </c>
      <c r="J376" s="74">
        <v>7</v>
      </c>
      <c r="K376" s="79"/>
      <c r="L376" s="115"/>
      <c r="M376" s="115"/>
      <c r="N376" s="115"/>
      <c r="O376" s="115"/>
    </row>
    <row r="377" spans="1:15" ht="18.75" customHeight="1" thickBot="1" x14ac:dyDescent="0.25">
      <c r="A377" s="238"/>
      <c r="B377" s="210"/>
      <c r="C377" s="80"/>
      <c r="D377" s="81" t="s">
        <v>7</v>
      </c>
      <c r="E377" s="82"/>
      <c r="F377" s="83">
        <v>7</v>
      </c>
      <c r="G377" s="213"/>
      <c r="H377" s="84"/>
      <c r="I377" s="85" t="s">
        <v>10</v>
      </c>
      <c r="J377" s="83">
        <v>7</v>
      </c>
      <c r="K377" s="86"/>
      <c r="L377" s="115"/>
      <c r="M377" s="115"/>
      <c r="N377" s="115"/>
      <c r="O377" s="115"/>
    </row>
    <row r="378" spans="1:15" ht="18" customHeight="1" x14ac:dyDescent="0.2">
      <c r="A378" s="237">
        <v>45379</v>
      </c>
      <c r="B378" s="214" t="s">
        <v>16</v>
      </c>
      <c r="C378" s="87"/>
      <c r="D378" s="87" t="s">
        <v>7</v>
      </c>
      <c r="E378" s="88"/>
      <c r="F378" s="89">
        <v>7</v>
      </c>
      <c r="G378" s="217" t="s">
        <v>16</v>
      </c>
      <c r="H378" s="90"/>
      <c r="I378" s="90" t="s">
        <v>10</v>
      </c>
      <c r="J378" s="89">
        <v>0</v>
      </c>
      <c r="K378" s="91"/>
      <c r="L378" s="115"/>
      <c r="M378" s="115"/>
      <c r="N378" s="115"/>
      <c r="O378" s="115"/>
    </row>
    <row r="379" spans="1:15" ht="18" customHeight="1" x14ac:dyDescent="0.2">
      <c r="A379" s="238"/>
      <c r="B379" s="215"/>
      <c r="C379" s="92"/>
      <c r="D379" s="93" t="s">
        <v>7</v>
      </c>
      <c r="E379" s="94"/>
      <c r="F379" s="95">
        <v>7</v>
      </c>
      <c r="G379" s="218"/>
      <c r="H379" s="96"/>
      <c r="I379" s="97" t="s">
        <v>10</v>
      </c>
      <c r="J379" s="95">
        <v>7</v>
      </c>
      <c r="K379" s="98"/>
      <c r="L379" s="115"/>
      <c r="M379" s="115"/>
      <c r="N379" s="115"/>
      <c r="O379" s="115"/>
    </row>
    <row r="380" spans="1:15" ht="18" customHeight="1" x14ac:dyDescent="0.2">
      <c r="A380" s="238"/>
      <c r="B380" s="215"/>
      <c r="C380" s="92"/>
      <c r="D380" s="93" t="s">
        <v>7</v>
      </c>
      <c r="E380" s="94"/>
      <c r="F380" s="95">
        <v>7</v>
      </c>
      <c r="G380" s="218"/>
      <c r="H380" s="96"/>
      <c r="I380" s="97" t="s">
        <v>10</v>
      </c>
      <c r="J380" s="95">
        <v>7</v>
      </c>
      <c r="K380" s="98"/>
      <c r="L380" s="115"/>
      <c r="M380" s="115"/>
      <c r="N380" s="115"/>
      <c r="O380" s="115"/>
    </row>
    <row r="381" spans="1:15" ht="18.75" customHeight="1" thickBot="1" x14ac:dyDescent="0.25">
      <c r="A381" s="238"/>
      <c r="B381" s="216"/>
      <c r="C381" s="99"/>
      <c r="D381" s="100" t="s">
        <v>7</v>
      </c>
      <c r="E381" s="101"/>
      <c r="F381" s="102">
        <v>7</v>
      </c>
      <c r="G381" s="219"/>
      <c r="H381" s="103"/>
      <c r="I381" s="104" t="s">
        <v>10</v>
      </c>
      <c r="J381" s="102">
        <v>7</v>
      </c>
      <c r="K381" s="105"/>
      <c r="L381" s="115"/>
      <c r="M381" s="115"/>
      <c r="N381" s="115"/>
      <c r="O381" s="115"/>
    </row>
    <row r="382" spans="1:15" ht="23.25" x14ac:dyDescent="0.35">
      <c r="A382" s="118"/>
      <c r="B382" s="106"/>
      <c r="C382" s="107"/>
      <c r="D382" s="194" t="s">
        <v>20</v>
      </c>
      <c r="E382" s="195"/>
      <c r="F382" s="108">
        <f>SUM(F358:F381)</f>
        <v>168</v>
      </c>
      <c r="G382" s="107"/>
      <c r="H382" s="185" t="s">
        <v>20</v>
      </c>
      <c r="I382" s="186"/>
      <c r="J382" s="108">
        <f>SUM(J358:J381)</f>
        <v>161</v>
      </c>
      <c r="K382" s="109"/>
      <c r="L382" s="115"/>
      <c r="M382" s="115"/>
      <c r="N382" s="115"/>
      <c r="O382" s="115"/>
    </row>
    <row r="383" spans="1:15" ht="24" thickBot="1" x14ac:dyDescent="0.4">
      <c r="A383" s="119"/>
      <c r="B383" s="110"/>
      <c r="C383" s="111"/>
      <c r="D383" s="187" t="s">
        <v>21</v>
      </c>
      <c r="E383" s="188"/>
      <c r="F383" s="112">
        <f>F382/240*1</f>
        <v>0.7</v>
      </c>
      <c r="G383" s="111"/>
      <c r="H383" s="189" t="s">
        <v>22</v>
      </c>
      <c r="I383" s="190"/>
      <c r="J383" s="113">
        <f>J382/240*1</f>
        <v>0.67083333333333328</v>
      </c>
      <c r="K383" s="114"/>
      <c r="L383" s="115"/>
      <c r="M383" s="115"/>
      <c r="N383" s="115"/>
      <c r="O383" s="115"/>
    </row>
    <row r="384" spans="1:15" ht="24" thickBot="1" x14ac:dyDescent="0.4">
      <c r="A384" s="120">
        <v>14</v>
      </c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</row>
    <row r="385" spans="1:15" ht="21" thickBot="1" x14ac:dyDescent="0.35">
      <c r="A385" s="244" t="s">
        <v>25</v>
      </c>
      <c r="B385" s="191" t="s">
        <v>0</v>
      </c>
      <c r="C385" s="192"/>
      <c r="D385" s="192"/>
      <c r="E385" s="192"/>
      <c r="F385" s="192"/>
      <c r="G385" s="192"/>
      <c r="H385" s="192"/>
      <c r="I385" s="192"/>
      <c r="J385" s="192"/>
      <c r="K385" s="193"/>
      <c r="L385" s="115"/>
      <c r="M385" s="115"/>
      <c r="N385" s="115"/>
      <c r="O385" s="115"/>
    </row>
    <row r="386" spans="1:15" ht="21" thickBot="1" x14ac:dyDescent="0.35">
      <c r="A386" s="245"/>
      <c r="B386" s="196" t="s">
        <v>17</v>
      </c>
      <c r="C386" s="197"/>
      <c r="D386" s="197"/>
      <c r="E386" s="197"/>
      <c r="F386" s="198"/>
      <c r="G386" s="199" t="s">
        <v>1</v>
      </c>
      <c r="H386" s="200"/>
      <c r="I386" s="200"/>
      <c r="J386" s="200"/>
      <c r="K386" s="201"/>
      <c r="L386" s="115"/>
      <c r="M386" s="115"/>
      <c r="N386" s="115"/>
      <c r="O386" s="115"/>
    </row>
    <row r="387" spans="1:15" ht="41.25" thickBot="1" x14ac:dyDescent="0.25">
      <c r="A387" s="246"/>
      <c r="B387" s="2" t="s">
        <v>2</v>
      </c>
      <c r="C387" s="3" t="s">
        <v>6</v>
      </c>
      <c r="D387" s="3" t="s">
        <v>7</v>
      </c>
      <c r="E387" s="3" t="s">
        <v>8</v>
      </c>
      <c r="F387" s="4" t="s">
        <v>19</v>
      </c>
      <c r="G387" s="5" t="s">
        <v>2</v>
      </c>
      <c r="H387" s="6" t="s">
        <v>3</v>
      </c>
      <c r="I387" s="6" t="s">
        <v>4</v>
      </c>
      <c r="J387" s="7" t="s">
        <v>18</v>
      </c>
      <c r="K387" s="8" t="s">
        <v>5</v>
      </c>
      <c r="L387" s="115"/>
      <c r="M387" s="115"/>
      <c r="N387" s="115"/>
      <c r="O387" s="115"/>
    </row>
    <row r="388" spans="1:15" ht="18" x14ac:dyDescent="0.2">
      <c r="A388" s="237">
        <v>45381</v>
      </c>
      <c r="B388" s="220" t="s">
        <v>9</v>
      </c>
      <c r="C388" s="9"/>
      <c r="D388" s="9" t="s">
        <v>7</v>
      </c>
      <c r="E388" s="10"/>
      <c r="F388" s="11">
        <v>7</v>
      </c>
      <c r="G388" s="223" t="s">
        <v>9</v>
      </c>
      <c r="H388" s="12"/>
      <c r="I388" s="12" t="s">
        <v>10</v>
      </c>
      <c r="J388" s="11">
        <v>7</v>
      </c>
      <c r="K388" s="13"/>
      <c r="L388" s="115"/>
      <c r="M388" s="115"/>
      <c r="N388" s="115"/>
      <c r="O388" s="115"/>
    </row>
    <row r="389" spans="1:15" ht="18" x14ac:dyDescent="0.2">
      <c r="A389" s="238"/>
      <c r="B389" s="221"/>
      <c r="C389" s="14"/>
      <c r="D389" s="9" t="s">
        <v>7</v>
      </c>
      <c r="E389" s="10"/>
      <c r="F389" s="11">
        <v>7</v>
      </c>
      <c r="G389" s="224"/>
      <c r="H389" s="15"/>
      <c r="I389" s="16" t="s">
        <v>10</v>
      </c>
      <c r="J389" s="11">
        <v>7</v>
      </c>
      <c r="K389" s="17"/>
      <c r="L389" s="115"/>
      <c r="M389" s="115"/>
      <c r="N389" s="115"/>
      <c r="O389" s="115"/>
    </row>
    <row r="390" spans="1:15" ht="18" x14ac:dyDescent="0.2">
      <c r="A390" s="238"/>
      <c r="B390" s="221"/>
      <c r="C390" s="14"/>
      <c r="D390" s="9" t="s">
        <v>7</v>
      </c>
      <c r="E390" s="10"/>
      <c r="F390" s="11">
        <v>7</v>
      </c>
      <c r="G390" s="224"/>
      <c r="H390" s="15"/>
      <c r="I390" s="16" t="s">
        <v>10</v>
      </c>
      <c r="J390" s="11">
        <v>7</v>
      </c>
      <c r="K390" s="17"/>
      <c r="L390" s="115"/>
      <c r="M390" s="115"/>
      <c r="N390" s="115"/>
      <c r="O390" s="115"/>
    </row>
    <row r="391" spans="1:15" ht="18.75" thickBot="1" x14ac:dyDescent="0.25">
      <c r="A391" s="238"/>
      <c r="B391" s="222"/>
      <c r="C391" s="18"/>
      <c r="D391" s="19" t="s">
        <v>7</v>
      </c>
      <c r="E391" s="20"/>
      <c r="F391" s="21">
        <v>7</v>
      </c>
      <c r="G391" s="225"/>
      <c r="H391" s="22"/>
      <c r="I391" s="23" t="s">
        <v>10</v>
      </c>
      <c r="J391" s="21">
        <v>7</v>
      </c>
      <c r="K391" s="24"/>
      <c r="L391" s="115"/>
      <c r="M391" s="115"/>
      <c r="N391" s="115"/>
      <c r="O391" s="115"/>
    </row>
    <row r="392" spans="1:15" ht="18" customHeight="1" x14ac:dyDescent="0.2">
      <c r="A392" s="237">
        <v>45382</v>
      </c>
      <c r="B392" s="226" t="s">
        <v>12</v>
      </c>
      <c r="C392" s="25"/>
      <c r="D392" s="25" t="s">
        <v>7</v>
      </c>
      <c r="E392" s="26"/>
      <c r="F392" s="27">
        <v>7</v>
      </c>
      <c r="G392" s="229" t="s">
        <v>12</v>
      </c>
      <c r="H392" s="28"/>
      <c r="I392" s="28" t="s">
        <v>10</v>
      </c>
      <c r="J392" s="27">
        <v>7</v>
      </c>
      <c r="K392" s="29"/>
      <c r="L392" s="115"/>
      <c r="M392" s="115"/>
      <c r="N392" s="115"/>
      <c r="O392" s="115"/>
    </row>
    <row r="393" spans="1:15" ht="18" customHeight="1" x14ac:dyDescent="0.2">
      <c r="A393" s="238"/>
      <c r="B393" s="227"/>
      <c r="C393" s="30"/>
      <c r="D393" s="31" t="s">
        <v>7</v>
      </c>
      <c r="E393" s="32"/>
      <c r="F393" s="33">
        <v>7</v>
      </c>
      <c r="G393" s="230"/>
      <c r="H393" s="34"/>
      <c r="I393" s="35" t="s">
        <v>10</v>
      </c>
      <c r="J393" s="33">
        <v>7</v>
      </c>
      <c r="K393" s="36"/>
      <c r="L393" s="115"/>
      <c r="M393" s="115"/>
      <c r="N393" s="115"/>
      <c r="O393" s="115"/>
    </row>
    <row r="394" spans="1:15" ht="18" customHeight="1" x14ac:dyDescent="0.2">
      <c r="A394" s="238"/>
      <c r="B394" s="227"/>
      <c r="C394" s="30"/>
      <c r="D394" s="31" t="s">
        <v>7</v>
      </c>
      <c r="E394" s="32"/>
      <c r="F394" s="33">
        <v>7</v>
      </c>
      <c r="G394" s="230"/>
      <c r="H394" s="34"/>
      <c r="I394" s="35" t="s">
        <v>10</v>
      </c>
      <c r="J394" s="33">
        <v>7</v>
      </c>
      <c r="K394" s="36"/>
      <c r="L394" s="115"/>
      <c r="M394" s="115"/>
      <c r="N394" s="115"/>
      <c r="O394" s="115"/>
    </row>
    <row r="395" spans="1:15" ht="18.75" customHeight="1" thickBot="1" x14ac:dyDescent="0.25">
      <c r="A395" s="238"/>
      <c r="B395" s="228"/>
      <c r="C395" s="37"/>
      <c r="D395" s="38" t="s">
        <v>7</v>
      </c>
      <c r="E395" s="39"/>
      <c r="F395" s="40">
        <v>7</v>
      </c>
      <c r="G395" s="231"/>
      <c r="H395" s="41"/>
      <c r="I395" s="42" t="s">
        <v>10</v>
      </c>
      <c r="J395" s="40">
        <v>7</v>
      </c>
      <c r="K395" s="43"/>
      <c r="L395" s="115"/>
      <c r="M395" s="115"/>
      <c r="N395" s="115"/>
      <c r="O395" s="115"/>
    </row>
    <row r="396" spans="1:15" ht="23.25" x14ac:dyDescent="0.35">
      <c r="A396" s="118"/>
      <c r="B396" s="106"/>
      <c r="C396" s="107"/>
      <c r="D396" s="194" t="s">
        <v>35</v>
      </c>
      <c r="E396" s="195"/>
      <c r="F396" s="108">
        <f>SUM(F388:F395)</f>
        <v>56</v>
      </c>
      <c r="G396" s="107"/>
      <c r="H396" s="185" t="s">
        <v>35</v>
      </c>
      <c r="I396" s="186"/>
      <c r="J396" s="108">
        <f>SUM(J388:J395)</f>
        <v>56</v>
      </c>
      <c r="K396" s="109"/>
      <c r="L396" s="115"/>
      <c r="M396" s="115"/>
      <c r="N396" s="115"/>
      <c r="O396" s="115"/>
    </row>
    <row r="397" spans="1:15" ht="24" thickBot="1" x14ac:dyDescent="0.4">
      <c r="A397" s="119"/>
      <c r="B397" s="110"/>
      <c r="C397" s="111"/>
      <c r="D397" s="187" t="s">
        <v>21</v>
      </c>
      <c r="E397" s="188"/>
      <c r="F397" s="112">
        <f>F396/80*1</f>
        <v>0.7</v>
      </c>
      <c r="G397" s="111"/>
      <c r="H397" s="189" t="s">
        <v>22</v>
      </c>
      <c r="I397" s="190"/>
      <c r="J397" s="113">
        <f>J396/80*1</f>
        <v>0.7</v>
      </c>
      <c r="K397" s="114"/>
      <c r="L397" s="115"/>
      <c r="M397" s="115"/>
      <c r="N397" s="115"/>
      <c r="O397" s="115"/>
    </row>
  </sheetData>
  <mergeCells count="348">
    <mergeCell ref="A392:A395"/>
    <mergeCell ref="B392:B395"/>
    <mergeCell ref="G392:G395"/>
    <mergeCell ref="D396:E396"/>
    <mergeCell ref="H396:I396"/>
    <mergeCell ref="D397:E397"/>
    <mergeCell ref="H397:I397"/>
    <mergeCell ref="A3:A5"/>
    <mergeCell ref="A25:A27"/>
    <mergeCell ref="A55:A57"/>
    <mergeCell ref="A85:A87"/>
    <mergeCell ref="A115:A117"/>
    <mergeCell ref="A145:A147"/>
    <mergeCell ref="A175:A177"/>
    <mergeCell ref="A205:A207"/>
    <mergeCell ref="A235:A237"/>
    <mergeCell ref="A265:A267"/>
    <mergeCell ref="A295:A297"/>
    <mergeCell ref="A325:A327"/>
    <mergeCell ref="A355:A357"/>
    <mergeCell ref="A385:A387"/>
    <mergeCell ref="D382:E382"/>
    <mergeCell ref="H382:I382"/>
    <mergeCell ref="D383:E383"/>
    <mergeCell ref="H383:I383"/>
    <mergeCell ref="B385:K385"/>
    <mergeCell ref="B386:F386"/>
    <mergeCell ref="G386:K386"/>
    <mergeCell ref="A388:A391"/>
    <mergeCell ref="B388:B391"/>
    <mergeCell ref="G388:G391"/>
    <mergeCell ref="A370:A373"/>
    <mergeCell ref="B370:B373"/>
    <mergeCell ref="G370:G373"/>
    <mergeCell ref="A374:A377"/>
    <mergeCell ref="B374:B377"/>
    <mergeCell ref="G374:G377"/>
    <mergeCell ref="A378:A381"/>
    <mergeCell ref="B378:B381"/>
    <mergeCell ref="G378:G381"/>
    <mergeCell ref="A358:A361"/>
    <mergeCell ref="B358:B361"/>
    <mergeCell ref="G358:G361"/>
    <mergeCell ref="A362:A365"/>
    <mergeCell ref="B362:B365"/>
    <mergeCell ref="G362:G365"/>
    <mergeCell ref="A366:A369"/>
    <mergeCell ref="B366:B369"/>
    <mergeCell ref="G366:G369"/>
    <mergeCell ref="A348:A351"/>
    <mergeCell ref="B348:B351"/>
    <mergeCell ref="G348:G351"/>
    <mergeCell ref="D352:E352"/>
    <mergeCell ref="H352:I352"/>
    <mergeCell ref="D353:E353"/>
    <mergeCell ref="H353:I353"/>
    <mergeCell ref="B355:K355"/>
    <mergeCell ref="B356:F356"/>
    <mergeCell ref="G356:K356"/>
    <mergeCell ref="A336:A339"/>
    <mergeCell ref="B336:B339"/>
    <mergeCell ref="G336:G339"/>
    <mergeCell ref="A340:A343"/>
    <mergeCell ref="B340:B343"/>
    <mergeCell ref="G340:G343"/>
    <mergeCell ref="A344:A347"/>
    <mergeCell ref="B344:B347"/>
    <mergeCell ref="G344:G347"/>
    <mergeCell ref="D323:E323"/>
    <mergeCell ref="H323:I323"/>
    <mergeCell ref="B325:K325"/>
    <mergeCell ref="B326:F326"/>
    <mergeCell ref="G326:K326"/>
    <mergeCell ref="A328:A331"/>
    <mergeCell ref="B328:B331"/>
    <mergeCell ref="G328:G331"/>
    <mergeCell ref="A332:A335"/>
    <mergeCell ref="B332:B335"/>
    <mergeCell ref="G332:G335"/>
    <mergeCell ref="A310:A313"/>
    <mergeCell ref="B310:B313"/>
    <mergeCell ref="G310:G313"/>
    <mergeCell ref="A314:A317"/>
    <mergeCell ref="B314:B317"/>
    <mergeCell ref="G314:G317"/>
    <mergeCell ref="A318:A321"/>
    <mergeCell ref="B318:B321"/>
    <mergeCell ref="G318:G321"/>
    <mergeCell ref="A298:A301"/>
    <mergeCell ref="B298:B301"/>
    <mergeCell ref="G298:G301"/>
    <mergeCell ref="A302:A305"/>
    <mergeCell ref="B302:B305"/>
    <mergeCell ref="G302:G305"/>
    <mergeCell ref="A306:A309"/>
    <mergeCell ref="B306:B309"/>
    <mergeCell ref="G306:G309"/>
    <mergeCell ref="A268:A271"/>
    <mergeCell ref="B268:B271"/>
    <mergeCell ref="G268:G271"/>
    <mergeCell ref="A272:A275"/>
    <mergeCell ref="A276:A279"/>
    <mergeCell ref="A280:A283"/>
    <mergeCell ref="A284:A287"/>
    <mergeCell ref="A288:A291"/>
    <mergeCell ref="D292:E292"/>
    <mergeCell ref="B280:B283"/>
    <mergeCell ref="G280:G283"/>
    <mergeCell ref="B284:B287"/>
    <mergeCell ref="G284:G287"/>
    <mergeCell ref="B288:B291"/>
    <mergeCell ref="G288:G291"/>
    <mergeCell ref="B276:B279"/>
    <mergeCell ref="G276:G279"/>
    <mergeCell ref="B272:B275"/>
    <mergeCell ref="G272:G275"/>
    <mergeCell ref="A254:A257"/>
    <mergeCell ref="B254:B257"/>
    <mergeCell ref="G254:G257"/>
    <mergeCell ref="A258:A261"/>
    <mergeCell ref="B258:B261"/>
    <mergeCell ref="G258:G261"/>
    <mergeCell ref="D262:E262"/>
    <mergeCell ref="H262:I262"/>
    <mergeCell ref="D263:E263"/>
    <mergeCell ref="H263:I263"/>
    <mergeCell ref="A238:A241"/>
    <mergeCell ref="A242:A245"/>
    <mergeCell ref="B242:B245"/>
    <mergeCell ref="G242:G245"/>
    <mergeCell ref="A246:A249"/>
    <mergeCell ref="B246:B249"/>
    <mergeCell ref="G246:G249"/>
    <mergeCell ref="A250:A253"/>
    <mergeCell ref="B250:B253"/>
    <mergeCell ref="G250:G253"/>
    <mergeCell ref="A220:A223"/>
    <mergeCell ref="B220:B223"/>
    <mergeCell ref="G220:G223"/>
    <mergeCell ref="A224:A227"/>
    <mergeCell ref="B224:B227"/>
    <mergeCell ref="G224:G227"/>
    <mergeCell ref="A228:A231"/>
    <mergeCell ref="B228:B231"/>
    <mergeCell ref="G228:G231"/>
    <mergeCell ref="A208:A211"/>
    <mergeCell ref="B208:B211"/>
    <mergeCell ref="G208:G211"/>
    <mergeCell ref="A212:A215"/>
    <mergeCell ref="B212:B215"/>
    <mergeCell ref="G212:G215"/>
    <mergeCell ref="A216:A219"/>
    <mergeCell ref="B216:B219"/>
    <mergeCell ref="G216:G219"/>
    <mergeCell ref="A190:A193"/>
    <mergeCell ref="A194:A197"/>
    <mergeCell ref="A198:A201"/>
    <mergeCell ref="D202:E202"/>
    <mergeCell ref="H202:I202"/>
    <mergeCell ref="D203:E203"/>
    <mergeCell ref="H203:I203"/>
    <mergeCell ref="B205:K205"/>
    <mergeCell ref="B206:F206"/>
    <mergeCell ref="G206:K206"/>
    <mergeCell ref="A178:A181"/>
    <mergeCell ref="B178:B181"/>
    <mergeCell ref="G178:G181"/>
    <mergeCell ref="A182:A185"/>
    <mergeCell ref="B182:B185"/>
    <mergeCell ref="G182:G185"/>
    <mergeCell ref="A186:A189"/>
    <mergeCell ref="B186:B189"/>
    <mergeCell ref="G186:G189"/>
    <mergeCell ref="A168:A171"/>
    <mergeCell ref="B168:B171"/>
    <mergeCell ref="G168:G171"/>
    <mergeCell ref="D172:E172"/>
    <mergeCell ref="H172:I172"/>
    <mergeCell ref="D173:E173"/>
    <mergeCell ref="H173:I173"/>
    <mergeCell ref="B175:K175"/>
    <mergeCell ref="B176:F176"/>
    <mergeCell ref="G176:K176"/>
    <mergeCell ref="A148:A151"/>
    <mergeCell ref="A152:A155"/>
    <mergeCell ref="A156:A159"/>
    <mergeCell ref="A160:A163"/>
    <mergeCell ref="B160:B163"/>
    <mergeCell ref="G160:G163"/>
    <mergeCell ref="A164:A167"/>
    <mergeCell ref="B164:B167"/>
    <mergeCell ref="G164:G167"/>
    <mergeCell ref="G148:G151"/>
    <mergeCell ref="B152:B155"/>
    <mergeCell ref="G152:G155"/>
    <mergeCell ref="B156:B159"/>
    <mergeCell ref="G156:G159"/>
    <mergeCell ref="B148:B151"/>
    <mergeCell ref="D142:E142"/>
    <mergeCell ref="H142:I142"/>
    <mergeCell ref="D143:E143"/>
    <mergeCell ref="H143:I143"/>
    <mergeCell ref="H2:I2"/>
    <mergeCell ref="D2:E2"/>
    <mergeCell ref="B115:K115"/>
    <mergeCell ref="B116:F116"/>
    <mergeCell ref="G116:K116"/>
    <mergeCell ref="B134:B137"/>
    <mergeCell ref="G134:G137"/>
    <mergeCell ref="B58:B61"/>
    <mergeCell ref="G58:G61"/>
    <mergeCell ref="B62:B65"/>
    <mergeCell ref="G62:G65"/>
    <mergeCell ref="B66:B69"/>
    <mergeCell ref="G66:G69"/>
    <mergeCell ref="B70:B73"/>
    <mergeCell ref="G70:G73"/>
    <mergeCell ref="H53:I53"/>
    <mergeCell ref="B3:K3"/>
    <mergeCell ref="G4:K4"/>
    <mergeCell ref="B14:B17"/>
    <mergeCell ref="B4:F4"/>
    <mergeCell ref="A138:A141"/>
    <mergeCell ref="B138:B141"/>
    <mergeCell ref="G138:G141"/>
    <mergeCell ref="A118:A121"/>
    <mergeCell ref="A122:A125"/>
    <mergeCell ref="A126:A129"/>
    <mergeCell ref="A130:A133"/>
    <mergeCell ref="A134:A137"/>
    <mergeCell ref="H112:I112"/>
    <mergeCell ref="D113:E113"/>
    <mergeCell ref="H113:I113"/>
    <mergeCell ref="A88:A91"/>
    <mergeCell ref="A92:A95"/>
    <mergeCell ref="A96:A99"/>
    <mergeCell ref="A100:A103"/>
    <mergeCell ref="A104:A107"/>
    <mergeCell ref="A108:A111"/>
    <mergeCell ref="A62:A65"/>
    <mergeCell ref="A66:A69"/>
    <mergeCell ref="A70:A73"/>
    <mergeCell ref="A74:A77"/>
    <mergeCell ref="A78:A81"/>
    <mergeCell ref="A40:A43"/>
    <mergeCell ref="A44:A47"/>
    <mergeCell ref="A48:A51"/>
    <mergeCell ref="A58:A61"/>
    <mergeCell ref="B28:B31"/>
    <mergeCell ref="G28:G31"/>
    <mergeCell ref="B32:B35"/>
    <mergeCell ref="G32:G35"/>
    <mergeCell ref="B36:B39"/>
    <mergeCell ref="G36:G39"/>
    <mergeCell ref="D53:E53"/>
    <mergeCell ref="B55:K55"/>
    <mergeCell ref="B56:F56"/>
    <mergeCell ref="G56:K56"/>
    <mergeCell ref="A6:A9"/>
    <mergeCell ref="A10:A13"/>
    <mergeCell ref="A14:A17"/>
    <mergeCell ref="A18:A21"/>
    <mergeCell ref="A28:A31"/>
    <mergeCell ref="A32:A35"/>
    <mergeCell ref="A36:A39"/>
    <mergeCell ref="D52:E52"/>
    <mergeCell ref="H52:I52"/>
    <mergeCell ref="B40:B43"/>
    <mergeCell ref="G40:G43"/>
    <mergeCell ref="B44:B47"/>
    <mergeCell ref="G44:G47"/>
    <mergeCell ref="B48:B51"/>
    <mergeCell ref="G48:G51"/>
    <mergeCell ref="B25:K25"/>
    <mergeCell ref="G26:K26"/>
    <mergeCell ref="G18:G21"/>
    <mergeCell ref="B18:B21"/>
    <mergeCell ref="G6:G9"/>
    <mergeCell ref="B6:B9"/>
    <mergeCell ref="G10:G13"/>
    <mergeCell ref="B10:B13"/>
    <mergeCell ref="G14:G17"/>
    <mergeCell ref="D22:E22"/>
    <mergeCell ref="D23:E23"/>
    <mergeCell ref="H22:I22"/>
    <mergeCell ref="H23:I23"/>
    <mergeCell ref="B26:F26"/>
    <mergeCell ref="B74:B77"/>
    <mergeCell ref="G74:G77"/>
    <mergeCell ref="B78:B81"/>
    <mergeCell ref="G78:G81"/>
    <mergeCell ref="D82:E82"/>
    <mergeCell ref="H82:I82"/>
    <mergeCell ref="D83:E83"/>
    <mergeCell ref="H83:I83"/>
    <mergeCell ref="B85:K85"/>
    <mergeCell ref="B86:F86"/>
    <mergeCell ref="G86:K86"/>
    <mergeCell ref="B88:B91"/>
    <mergeCell ref="G88:G91"/>
    <mergeCell ref="B92:B95"/>
    <mergeCell ref="G92:G95"/>
    <mergeCell ref="B96:B99"/>
    <mergeCell ref="G96:G99"/>
    <mergeCell ref="B100:B103"/>
    <mergeCell ref="G100:G103"/>
    <mergeCell ref="B104:B107"/>
    <mergeCell ref="G104:G107"/>
    <mergeCell ref="B130:B133"/>
    <mergeCell ref="G130:G133"/>
    <mergeCell ref="B118:B121"/>
    <mergeCell ref="G118:G121"/>
    <mergeCell ref="B122:B125"/>
    <mergeCell ref="G122:G125"/>
    <mergeCell ref="B126:B129"/>
    <mergeCell ref="G126:G129"/>
    <mergeCell ref="B108:B111"/>
    <mergeCell ref="G108:G111"/>
    <mergeCell ref="D112:E112"/>
    <mergeCell ref="B145:K145"/>
    <mergeCell ref="B146:F146"/>
    <mergeCell ref="G146:K146"/>
    <mergeCell ref="B198:B201"/>
    <mergeCell ref="G198:G201"/>
    <mergeCell ref="B238:B241"/>
    <mergeCell ref="G238:G241"/>
    <mergeCell ref="D232:E232"/>
    <mergeCell ref="H232:I232"/>
    <mergeCell ref="D233:E233"/>
    <mergeCell ref="H233:I233"/>
    <mergeCell ref="B235:K235"/>
    <mergeCell ref="B236:F236"/>
    <mergeCell ref="G236:K236"/>
    <mergeCell ref="H292:I292"/>
    <mergeCell ref="D293:E293"/>
    <mergeCell ref="H293:I293"/>
    <mergeCell ref="B295:K295"/>
    <mergeCell ref="D322:E322"/>
    <mergeCell ref="B265:K265"/>
    <mergeCell ref="B266:F266"/>
    <mergeCell ref="G266:K266"/>
    <mergeCell ref="B190:B193"/>
    <mergeCell ref="G190:G193"/>
    <mergeCell ref="B194:B197"/>
    <mergeCell ref="G194:G197"/>
    <mergeCell ref="B296:F296"/>
    <mergeCell ref="G296:K296"/>
    <mergeCell ref="H322:I322"/>
  </mergeCells>
  <dataValidations count="2">
    <dataValidation type="list" allowBlank="1" showInputMessage="1" showErrorMessage="1" sqref="E118:E141 E388:E395 E358:E381 E328:E351 E298:E321 E268:E291 E238:E261 E208:E231 E178:E201 E148:E171 E58:E81 E28:E51 E88:E111 E6:E21" xr:uid="{00000000-0002-0000-0000-000000000000}">
      <formula1>#REF!</formula1>
    </dataValidation>
    <dataValidation type="list" allowBlank="1" showInputMessage="1" showErrorMessage="1" sqref="D118:D141 D388:D395 D358:D381 D328:D351 D298:D321 D268:D291 D238:D261 D208:D231 D178:D201 D148:D171 D58:D81 D28:D51 D88:D111 D6:D21 I118:I141 I388:I395 I358:I381 I328:I351 I298:I321 I268:I291 I238:I261 I208:I231 I178:I201 I148:I171 I58:I81 I28:I51 I88:I111 I6:I21" xr:uid="{00000000-0002-0000-00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0"/>
  <sheetViews>
    <sheetView rightToLeft="1" tabSelected="1" topLeftCell="A159" zoomScale="70" zoomScaleNormal="70" workbookViewId="0">
      <selection activeCell="C165" sqref="C165"/>
    </sheetView>
  </sheetViews>
  <sheetFormatPr defaultRowHeight="14.25" x14ac:dyDescent="0.2"/>
  <cols>
    <col min="1" max="1" width="11.625" bestFit="1" customWidth="1"/>
    <col min="2" max="2" width="10" customWidth="1"/>
    <col min="3" max="3" width="63.125" customWidth="1"/>
    <col min="4" max="4" width="11.25" customWidth="1"/>
    <col min="5" max="5" width="12" customWidth="1"/>
    <col min="6" max="6" width="15.5" bestFit="1" customWidth="1"/>
    <col min="7" max="7" width="10.125" customWidth="1"/>
    <col min="8" max="8" width="110" customWidth="1"/>
    <col min="9" max="9" width="11.625" customWidth="1"/>
    <col min="10" max="10" width="15.5" bestFit="1" customWidth="1"/>
    <col min="11" max="11" width="65.375" customWidth="1"/>
  </cols>
  <sheetData>
    <row r="1" spans="1:15" ht="53.25" customHeight="1" thickBot="1" x14ac:dyDescent="0.25">
      <c r="A1" s="1">
        <v>1</v>
      </c>
      <c r="B1" s="1"/>
      <c r="C1" s="1"/>
      <c r="D1" s="241" t="s">
        <v>23</v>
      </c>
      <c r="E1" s="242"/>
      <c r="F1" s="121">
        <f>(F22+F52+F82+F112+F142+F172+F202+F232+F262+F292+F322+F352+F382+F400+F430+F460)/14</f>
        <v>0.79523809523809508</v>
      </c>
      <c r="G1" s="1"/>
      <c r="H1" s="239" t="s">
        <v>24</v>
      </c>
      <c r="I1" s="240"/>
      <c r="J1" s="122">
        <f>(J22+J52+J82+J112+J142+J172+J202+J232+J262+J292+J322+J352+J382+J400)/14</f>
        <v>0.77857142857142836</v>
      </c>
      <c r="K1" s="1"/>
      <c r="L1" s="115"/>
      <c r="M1" s="115"/>
      <c r="N1" s="115"/>
      <c r="O1" s="115"/>
    </row>
    <row r="2" spans="1:15" ht="21" thickBot="1" x14ac:dyDescent="0.35">
      <c r="A2" s="244" t="s">
        <v>25</v>
      </c>
      <c r="B2" s="191" t="s">
        <v>0</v>
      </c>
      <c r="C2" s="192"/>
      <c r="D2" s="243"/>
      <c r="E2" s="243"/>
      <c r="F2" s="243"/>
      <c r="G2" s="192"/>
      <c r="H2" s="243"/>
      <c r="I2" s="243"/>
      <c r="J2" s="243"/>
      <c r="K2" s="193"/>
      <c r="L2" s="115"/>
      <c r="M2" s="115"/>
      <c r="N2" s="115"/>
      <c r="O2" s="115"/>
    </row>
    <row r="3" spans="1:15" ht="21" customHeight="1" thickBot="1" x14ac:dyDescent="0.35">
      <c r="A3" s="245"/>
      <c r="B3" s="196" t="s">
        <v>17</v>
      </c>
      <c r="C3" s="197"/>
      <c r="D3" s="197"/>
      <c r="E3" s="197"/>
      <c r="F3" s="198"/>
      <c r="G3" s="199" t="s">
        <v>1</v>
      </c>
      <c r="H3" s="200"/>
      <c r="I3" s="200"/>
      <c r="J3" s="200"/>
      <c r="K3" s="201"/>
      <c r="L3" s="115"/>
      <c r="M3" s="115"/>
      <c r="N3" s="115"/>
      <c r="O3" s="115"/>
    </row>
    <row r="4" spans="1:15" ht="41.25" thickBot="1" x14ac:dyDescent="0.25">
      <c r="A4" s="246"/>
      <c r="B4" s="2" t="s">
        <v>2</v>
      </c>
      <c r="C4" s="3" t="s">
        <v>6</v>
      </c>
      <c r="D4" s="3" t="s">
        <v>7</v>
      </c>
      <c r="E4" s="3" t="s">
        <v>8</v>
      </c>
      <c r="F4" s="4" t="s">
        <v>19</v>
      </c>
      <c r="G4" s="5" t="s">
        <v>2</v>
      </c>
      <c r="H4" s="6" t="s">
        <v>28</v>
      </c>
      <c r="I4" s="6" t="s">
        <v>4</v>
      </c>
      <c r="J4" s="7" t="s">
        <v>18</v>
      </c>
      <c r="K4" s="8" t="s">
        <v>38</v>
      </c>
      <c r="L4" s="115"/>
      <c r="M4" s="115"/>
      <c r="N4" s="115"/>
      <c r="O4" s="115"/>
    </row>
    <row r="5" spans="1:15" ht="18" x14ac:dyDescent="0.2">
      <c r="A5" s="237">
        <v>45383</v>
      </c>
      <c r="B5" s="232" t="s">
        <v>13</v>
      </c>
      <c r="C5" s="44"/>
      <c r="D5" s="44" t="s">
        <v>7</v>
      </c>
      <c r="E5" s="45"/>
      <c r="F5" s="46">
        <v>10</v>
      </c>
      <c r="G5" s="185" t="s">
        <v>13</v>
      </c>
      <c r="H5" s="47"/>
      <c r="I5" s="47" t="s">
        <v>10</v>
      </c>
      <c r="J5" s="134">
        <v>10</v>
      </c>
      <c r="K5" s="48"/>
      <c r="L5" s="115"/>
      <c r="M5" s="115"/>
      <c r="N5" s="115"/>
      <c r="O5" s="115"/>
    </row>
    <row r="6" spans="1:15" ht="18" x14ac:dyDescent="0.2">
      <c r="A6" s="238"/>
      <c r="B6" s="233"/>
      <c r="C6" s="49"/>
      <c r="D6" s="44" t="s">
        <v>7</v>
      </c>
      <c r="E6" s="45"/>
      <c r="F6" s="46">
        <v>10</v>
      </c>
      <c r="G6" s="235"/>
      <c r="H6" s="50"/>
      <c r="I6" s="51" t="s">
        <v>10</v>
      </c>
      <c r="J6" s="135">
        <v>10</v>
      </c>
      <c r="K6" s="52"/>
      <c r="L6" s="115"/>
      <c r="M6" s="115"/>
      <c r="N6" s="115"/>
      <c r="O6" s="115"/>
    </row>
    <row r="7" spans="1:15" ht="18" x14ac:dyDescent="0.2">
      <c r="A7" s="238"/>
      <c r="B7" s="233"/>
      <c r="C7" s="49"/>
      <c r="D7" s="44" t="s">
        <v>7</v>
      </c>
      <c r="E7" s="45"/>
      <c r="F7" s="46">
        <v>10</v>
      </c>
      <c r="G7" s="235"/>
      <c r="H7" s="50"/>
      <c r="I7" s="51" t="s">
        <v>10</v>
      </c>
      <c r="J7" s="135">
        <v>10</v>
      </c>
      <c r="K7" s="52"/>
      <c r="L7" s="115"/>
      <c r="M7" s="115"/>
      <c r="N7" s="115"/>
      <c r="O7" s="115"/>
    </row>
    <row r="8" spans="1:15" ht="18.75" thickBot="1" x14ac:dyDescent="0.25">
      <c r="A8" s="238"/>
      <c r="B8" s="234"/>
      <c r="C8" s="53"/>
      <c r="D8" s="54" t="s">
        <v>7</v>
      </c>
      <c r="E8" s="55"/>
      <c r="F8" s="56">
        <v>10</v>
      </c>
      <c r="G8" s="236"/>
      <c r="H8" s="57"/>
      <c r="I8" s="58" t="s">
        <v>10</v>
      </c>
      <c r="J8" s="136">
        <v>10</v>
      </c>
      <c r="K8" s="59"/>
      <c r="L8" s="115"/>
      <c r="M8" s="115"/>
      <c r="N8" s="115"/>
      <c r="O8" s="115"/>
    </row>
    <row r="9" spans="1:15" ht="18" x14ac:dyDescent="0.2">
      <c r="A9" s="237">
        <v>45384</v>
      </c>
      <c r="B9" s="202" t="s">
        <v>14</v>
      </c>
      <c r="C9" s="60"/>
      <c r="D9" s="60" t="s">
        <v>7</v>
      </c>
      <c r="E9" s="61"/>
      <c r="F9" s="62">
        <v>10</v>
      </c>
      <c r="G9" s="205" t="s">
        <v>14</v>
      </c>
      <c r="H9" s="44"/>
      <c r="I9" s="44" t="s">
        <v>10</v>
      </c>
      <c r="J9" s="46">
        <v>10</v>
      </c>
      <c r="K9" s="45"/>
      <c r="L9" s="115"/>
      <c r="M9" s="115"/>
      <c r="N9" s="115"/>
      <c r="O9" s="115"/>
    </row>
    <row r="10" spans="1:15" ht="18" x14ac:dyDescent="0.2">
      <c r="A10" s="238"/>
      <c r="B10" s="203"/>
      <c r="C10" s="63"/>
      <c r="D10" s="64" t="s">
        <v>7</v>
      </c>
      <c r="E10" s="65"/>
      <c r="F10" s="66">
        <v>10</v>
      </c>
      <c r="G10" s="206"/>
      <c r="H10" s="49"/>
      <c r="I10" s="44" t="s">
        <v>10</v>
      </c>
      <c r="J10" s="137">
        <v>10</v>
      </c>
      <c r="K10" s="67"/>
      <c r="L10" s="115"/>
      <c r="M10" s="115"/>
      <c r="N10" s="115"/>
      <c r="O10" s="115"/>
    </row>
    <row r="11" spans="1:15" ht="18" x14ac:dyDescent="0.2">
      <c r="A11" s="238"/>
      <c r="B11" s="203"/>
      <c r="C11" s="63"/>
      <c r="D11" s="64" t="s">
        <v>7</v>
      </c>
      <c r="E11" s="65"/>
      <c r="F11" s="66">
        <v>10</v>
      </c>
      <c r="G11" s="206"/>
      <c r="H11" s="49"/>
      <c r="I11" s="44" t="s">
        <v>10</v>
      </c>
      <c r="J11" s="137">
        <v>10</v>
      </c>
      <c r="K11" s="67"/>
      <c r="L11" s="115"/>
      <c r="M11" s="115"/>
      <c r="N11" s="115"/>
      <c r="O11" s="115"/>
    </row>
    <row r="12" spans="1:15" ht="18.75" thickBot="1" x14ac:dyDescent="0.25">
      <c r="A12" s="238"/>
      <c r="B12" s="204"/>
      <c r="C12" s="68"/>
      <c r="D12" s="69" t="s">
        <v>7</v>
      </c>
      <c r="E12" s="70"/>
      <c r="F12" s="71">
        <v>10</v>
      </c>
      <c r="G12" s="207"/>
      <c r="H12" s="53"/>
      <c r="I12" s="54" t="s">
        <v>10</v>
      </c>
      <c r="J12" s="138">
        <v>10</v>
      </c>
      <c r="K12" s="72"/>
      <c r="L12" s="115"/>
      <c r="M12" s="115"/>
      <c r="N12" s="115"/>
      <c r="O12" s="115"/>
    </row>
    <row r="13" spans="1:15" ht="18" x14ac:dyDescent="0.2">
      <c r="A13" s="237">
        <v>45385</v>
      </c>
      <c r="B13" s="208" t="s">
        <v>15</v>
      </c>
      <c r="C13" s="16"/>
      <c r="D13" s="16" t="s">
        <v>7</v>
      </c>
      <c r="E13" s="73"/>
      <c r="F13" s="74">
        <v>10</v>
      </c>
      <c r="G13" s="211" t="s">
        <v>15</v>
      </c>
      <c r="H13" s="75"/>
      <c r="I13" s="75" t="s">
        <v>10</v>
      </c>
      <c r="J13" s="139">
        <v>10</v>
      </c>
      <c r="K13" s="76"/>
      <c r="L13" s="115"/>
      <c r="M13" s="115"/>
      <c r="N13" s="115"/>
      <c r="O13" s="115"/>
    </row>
    <row r="14" spans="1:15" ht="18" x14ac:dyDescent="0.2">
      <c r="A14" s="238"/>
      <c r="B14" s="209"/>
      <c r="C14" s="15"/>
      <c r="D14" s="16" t="s">
        <v>7</v>
      </c>
      <c r="E14" s="73"/>
      <c r="F14" s="74">
        <v>10</v>
      </c>
      <c r="G14" s="212"/>
      <c r="H14" s="77"/>
      <c r="I14" s="78" t="s">
        <v>10</v>
      </c>
      <c r="J14" s="140">
        <v>10</v>
      </c>
      <c r="K14" s="79"/>
      <c r="L14" s="115"/>
      <c r="M14" s="115"/>
      <c r="N14" s="115"/>
      <c r="O14" s="115"/>
    </row>
    <row r="15" spans="1:15" ht="18" x14ac:dyDescent="0.2">
      <c r="A15" s="238"/>
      <c r="B15" s="209"/>
      <c r="C15" s="15"/>
      <c r="D15" s="16" t="s">
        <v>7</v>
      </c>
      <c r="E15" s="73"/>
      <c r="F15" s="74">
        <v>10</v>
      </c>
      <c r="G15" s="212"/>
      <c r="H15" s="77"/>
      <c r="I15" s="78" t="s">
        <v>10</v>
      </c>
      <c r="J15" s="140">
        <v>10</v>
      </c>
      <c r="K15" s="79"/>
      <c r="L15" s="115"/>
      <c r="M15" s="115"/>
      <c r="N15" s="115"/>
      <c r="O15" s="115"/>
    </row>
    <row r="16" spans="1:15" ht="18.75" thickBot="1" x14ac:dyDescent="0.25">
      <c r="A16" s="238"/>
      <c r="B16" s="210"/>
      <c r="C16" s="80"/>
      <c r="D16" s="81" t="s">
        <v>7</v>
      </c>
      <c r="E16" s="82"/>
      <c r="F16" s="83">
        <v>10</v>
      </c>
      <c r="G16" s="213"/>
      <c r="H16" s="84"/>
      <c r="I16" s="85" t="s">
        <v>10</v>
      </c>
      <c r="J16" s="141">
        <v>10</v>
      </c>
      <c r="K16" s="86"/>
      <c r="L16" s="115"/>
      <c r="M16" s="115"/>
      <c r="N16" s="115"/>
      <c r="O16" s="115"/>
    </row>
    <row r="17" spans="1:15" ht="18" x14ac:dyDescent="0.2">
      <c r="A17" s="237">
        <v>45386</v>
      </c>
      <c r="B17" s="214" t="s">
        <v>16</v>
      </c>
      <c r="C17" s="87"/>
      <c r="D17" s="87" t="s">
        <v>7</v>
      </c>
      <c r="E17" s="88"/>
      <c r="F17" s="89">
        <v>10</v>
      </c>
      <c r="G17" s="217" t="s">
        <v>16</v>
      </c>
      <c r="H17" s="90"/>
      <c r="I17" s="90" t="s">
        <v>10</v>
      </c>
      <c r="J17" s="142">
        <v>10</v>
      </c>
      <c r="K17" s="91"/>
      <c r="L17" s="115"/>
      <c r="M17" s="115"/>
      <c r="N17" s="115"/>
      <c r="O17" s="115"/>
    </row>
    <row r="18" spans="1:15" ht="18" x14ac:dyDescent="0.2">
      <c r="A18" s="238"/>
      <c r="B18" s="215"/>
      <c r="C18" s="92"/>
      <c r="D18" s="93" t="s">
        <v>7</v>
      </c>
      <c r="E18" s="94"/>
      <c r="F18" s="95">
        <v>10</v>
      </c>
      <c r="G18" s="218"/>
      <c r="H18" s="96"/>
      <c r="I18" s="97" t="s">
        <v>10</v>
      </c>
      <c r="J18" s="143">
        <v>10</v>
      </c>
      <c r="K18" s="98"/>
      <c r="L18" s="115"/>
      <c r="M18" s="115"/>
      <c r="N18" s="115"/>
      <c r="O18" s="115"/>
    </row>
    <row r="19" spans="1:15" ht="18" x14ac:dyDescent="0.2">
      <c r="A19" s="238"/>
      <c r="B19" s="215"/>
      <c r="C19" s="92"/>
      <c r="D19" s="93" t="s">
        <v>7</v>
      </c>
      <c r="E19" s="94"/>
      <c r="F19" s="95">
        <v>10</v>
      </c>
      <c r="G19" s="218"/>
      <c r="H19" s="96"/>
      <c r="I19" s="97" t="s">
        <v>10</v>
      </c>
      <c r="J19" s="143">
        <v>10</v>
      </c>
      <c r="K19" s="98"/>
      <c r="L19" s="115"/>
      <c r="M19" s="115"/>
      <c r="N19" s="115"/>
      <c r="O19" s="115"/>
    </row>
    <row r="20" spans="1:15" ht="18.75" thickBot="1" x14ac:dyDescent="0.25">
      <c r="A20" s="238"/>
      <c r="B20" s="216"/>
      <c r="C20" s="99"/>
      <c r="D20" s="100" t="s">
        <v>7</v>
      </c>
      <c r="E20" s="101"/>
      <c r="F20" s="102">
        <v>10</v>
      </c>
      <c r="G20" s="219"/>
      <c r="H20" s="103"/>
      <c r="I20" s="104" t="s">
        <v>10</v>
      </c>
      <c r="J20" s="144">
        <v>10</v>
      </c>
      <c r="K20" s="105"/>
      <c r="L20" s="115"/>
      <c r="M20" s="115"/>
      <c r="N20" s="115"/>
      <c r="O20" s="115"/>
    </row>
    <row r="21" spans="1:15" ht="18" customHeight="1" x14ac:dyDescent="0.35">
      <c r="A21" s="118"/>
      <c r="B21" s="106"/>
      <c r="C21" s="107"/>
      <c r="D21" s="194" t="s">
        <v>36</v>
      </c>
      <c r="E21" s="195"/>
      <c r="F21" s="108">
        <f>SUM(F5:F20)</f>
        <v>160</v>
      </c>
      <c r="G21" s="107"/>
      <c r="H21" s="185" t="s">
        <v>36</v>
      </c>
      <c r="I21" s="186"/>
      <c r="J21" s="108">
        <f>SUM(J5:J20)</f>
        <v>160</v>
      </c>
      <c r="K21" s="109"/>
      <c r="L21" s="115"/>
      <c r="M21" s="115"/>
      <c r="N21" s="115"/>
      <c r="O21" s="115"/>
    </row>
    <row r="22" spans="1:15" ht="18.75" customHeight="1" thickBot="1" x14ac:dyDescent="0.4">
      <c r="A22" s="119"/>
      <c r="B22" s="110"/>
      <c r="C22" s="111"/>
      <c r="D22" s="187" t="s">
        <v>21</v>
      </c>
      <c r="E22" s="188"/>
      <c r="F22" s="112">
        <f>F21/160*1</f>
        <v>1</v>
      </c>
      <c r="G22" s="111"/>
      <c r="H22" s="189" t="s">
        <v>22</v>
      </c>
      <c r="I22" s="190"/>
      <c r="J22" s="113">
        <f>J21/160*1</f>
        <v>1</v>
      </c>
      <c r="K22" s="114"/>
      <c r="L22" s="115"/>
      <c r="M22" s="115"/>
      <c r="N22" s="115"/>
      <c r="O22" s="115"/>
    </row>
    <row r="23" spans="1:15" ht="18.75" customHeight="1" thickBot="1" x14ac:dyDescent="0.4">
      <c r="A23" s="120">
        <v>2</v>
      </c>
      <c r="B23" s="115"/>
      <c r="C23" s="115"/>
      <c r="D23" s="115"/>
      <c r="E23" s="115"/>
      <c r="F23" s="116"/>
      <c r="G23" s="115"/>
      <c r="H23" s="115"/>
      <c r="I23" s="117"/>
      <c r="J23" s="116"/>
      <c r="K23" s="115"/>
      <c r="L23" s="115"/>
      <c r="M23" s="115"/>
      <c r="N23" s="115"/>
      <c r="O23" s="115"/>
    </row>
    <row r="24" spans="1:15" ht="21" thickBot="1" x14ac:dyDescent="0.35">
      <c r="A24" s="244" t="s">
        <v>25</v>
      </c>
      <c r="B24" s="191" t="s">
        <v>0</v>
      </c>
      <c r="C24" s="192"/>
      <c r="D24" s="192"/>
      <c r="E24" s="192"/>
      <c r="F24" s="192"/>
      <c r="G24" s="192"/>
      <c r="H24" s="192"/>
      <c r="I24" s="192"/>
      <c r="J24" s="192"/>
      <c r="K24" s="193"/>
      <c r="L24" s="115"/>
      <c r="M24" s="115"/>
      <c r="N24" s="115"/>
      <c r="O24" s="115"/>
    </row>
    <row r="25" spans="1:15" ht="21" thickBot="1" x14ac:dyDescent="0.35">
      <c r="A25" s="245"/>
      <c r="B25" s="196" t="s">
        <v>17</v>
      </c>
      <c r="C25" s="197"/>
      <c r="D25" s="197"/>
      <c r="E25" s="197"/>
      <c r="F25" s="198"/>
      <c r="G25" s="199" t="s">
        <v>1</v>
      </c>
      <c r="H25" s="200"/>
      <c r="I25" s="200"/>
      <c r="J25" s="200"/>
      <c r="K25" s="201"/>
      <c r="L25" s="115"/>
      <c r="M25" s="115"/>
      <c r="N25" s="115"/>
      <c r="O25" s="115"/>
    </row>
    <row r="26" spans="1:15" ht="41.25" thickBot="1" x14ac:dyDescent="0.25">
      <c r="A26" s="246"/>
      <c r="B26" s="2" t="s">
        <v>2</v>
      </c>
      <c r="C26" s="3" t="s">
        <v>6</v>
      </c>
      <c r="D26" s="3" t="s">
        <v>7</v>
      </c>
      <c r="E26" s="3" t="s">
        <v>8</v>
      </c>
      <c r="F26" s="4" t="s">
        <v>19</v>
      </c>
      <c r="G26" s="5" t="s">
        <v>2</v>
      </c>
      <c r="H26" s="6" t="s">
        <v>3</v>
      </c>
      <c r="I26" s="6" t="s">
        <v>4</v>
      </c>
      <c r="J26" s="7" t="s">
        <v>18</v>
      </c>
      <c r="K26" s="8" t="s">
        <v>5</v>
      </c>
      <c r="L26" s="115"/>
      <c r="M26" s="115"/>
      <c r="N26" s="115"/>
      <c r="O26" s="115"/>
    </row>
    <row r="27" spans="1:15" ht="18" x14ac:dyDescent="0.2">
      <c r="A27" s="237">
        <v>45388</v>
      </c>
      <c r="B27" s="220" t="s">
        <v>9</v>
      </c>
      <c r="C27" s="9"/>
      <c r="D27" s="9" t="s">
        <v>7</v>
      </c>
      <c r="E27" s="10"/>
      <c r="F27" s="11">
        <v>10</v>
      </c>
      <c r="G27" s="223" t="s">
        <v>9</v>
      </c>
      <c r="H27" s="12"/>
      <c r="I27" s="12" t="s">
        <v>10</v>
      </c>
      <c r="J27" s="11">
        <v>10</v>
      </c>
      <c r="K27" s="13"/>
      <c r="L27" s="115"/>
      <c r="M27" s="115"/>
      <c r="N27" s="115"/>
      <c r="O27" s="115"/>
    </row>
    <row r="28" spans="1:15" ht="18" x14ac:dyDescent="0.2">
      <c r="A28" s="238"/>
      <c r="B28" s="221"/>
      <c r="C28" s="14"/>
      <c r="D28" s="9" t="s">
        <v>7</v>
      </c>
      <c r="E28" s="10"/>
      <c r="F28" s="11">
        <v>10</v>
      </c>
      <c r="G28" s="224"/>
      <c r="H28" s="15"/>
      <c r="I28" s="16" t="s">
        <v>10</v>
      </c>
      <c r="J28" s="11">
        <v>10</v>
      </c>
      <c r="K28" s="17"/>
      <c r="L28" s="115"/>
      <c r="M28" s="115"/>
      <c r="N28" s="115"/>
      <c r="O28" s="115"/>
    </row>
    <row r="29" spans="1:15" ht="18" x14ac:dyDescent="0.2">
      <c r="A29" s="238"/>
      <c r="B29" s="221"/>
      <c r="C29" s="14"/>
      <c r="D29" s="9" t="s">
        <v>7</v>
      </c>
      <c r="E29" s="10"/>
      <c r="F29" s="11">
        <v>10</v>
      </c>
      <c r="G29" s="224"/>
      <c r="H29" s="15"/>
      <c r="I29" s="16" t="s">
        <v>10</v>
      </c>
      <c r="J29" s="11">
        <v>10</v>
      </c>
      <c r="K29" s="17"/>
      <c r="L29" s="115"/>
      <c r="M29" s="115"/>
      <c r="N29" s="115"/>
      <c r="O29" s="115"/>
    </row>
    <row r="30" spans="1:15" ht="18.75" thickBot="1" x14ac:dyDescent="0.25">
      <c r="A30" s="238"/>
      <c r="B30" s="222"/>
      <c r="C30" s="18"/>
      <c r="D30" s="19" t="s">
        <v>7</v>
      </c>
      <c r="E30" s="20"/>
      <c r="F30" s="21">
        <v>10</v>
      </c>
      <c r="G30" s="225"/>
      <c r="H30" s="22"/>
      <c r="I30" s="23" t="s">
        <v>10</v>
      </c>
      <c r="J30" s="21">
        <v>10</v>
      </c>
      <c r="K30" s="24"/>
      <c r="L30" s="115"/>
      <c r="M30" s="115"/>
      <c r="N30" s="115"/>
      <c r="O30" s="115"/>
    </row>
    <row r="31" spans="1:15" ht="18" customHeight="1" x14ac:dyDescent="0.2">
      <c r="A31" s="237">
        <v>45389</v>
      </c>
      <c r="B31" s="226" t="s">
        <v>12</v>
      </c>
      <c r="C31" s="25"/>
      <c r="D31" s="25" t="s">
        <v>7</v>
      </c>
      <c r="E31" s="26"/>
      <c r="F31" s="27">
        <v>10</v>
      </c>
      <c r="G31" s="229" t="s">
        <v>12</v>
      </c>
      <c r="H31" s="28"/>
      <c r="I31" s="28" t="s">
        <v>10</v>
      </c>
      <c r="J31" s="27">
        <v>10</v>
      </c>
      <c r="K31" s="29"/>
      <c r="L31" s="115"/>
      <c r="M31" s="115"/>
      <c r="N31" s="115"/>
      <c r="O31" s="115"/>
    </row>
    <row r="32" spans="1:15" ht="18" customHeight="1" x14ac:dyDescent="0.2">
      <c r="A32" s="238"/>
      <c r="B32" s="227"/>
      <c r="C32" s="30"/>
      <c r="D32" s="31" t="s">
        <v>7</v>
      </c>
      <c r="E32" s="32"/>
      <c r="F32" s="33">
        <v>10</v>
      </c>
      <c r="G32" s="230"/>
      <c r="H32" s="34"/>
      <c r="I32" s="35" t="s">
        <v>10</v>
      </c>
      <c r="J32" s="33">
        <v>10</v>
      </c>
      <c r="K32" s="36"/>
      <c r="L32" s="115"/>
      <c r="M32" s="115"/>
      <c r="N32" s="115"/>
      <c r="O32" s="115"/>
    </row>
    <row r="33" spans="1:15" ht="18" customHeight="1" x14ac:dyDescent="0.2">
      <c r="A33" s="238"/>
      <c r="B33" s="227"/>
      <c r="C33" s="30"/>
      <c r="D33" s="31" t="s">
        <v>7</v>
      </c>
      <c r="E33" s="32"/>
      <c r="F33" s="33">
        <v>10</v>
      </c>
      <c r="G33" s="230"/>
      <c r="H33" s="34"/>
      <c r="I33" s="35" t="s">
        <v>10</v>
      </c>
      <c r="J33" s="33">
        <v>10</v>
      </c>
      <c r="K33" s="36"/>
      <c r="L33" s="115"/>
      <c r="M33" s="115"/>
      <c r="N33" s="115"/>
      <c r="O33" s="115"/>
    </row>
    <row r="34" spans="1:15" ht="18.75" customHeight="1" thickBot="1" x14ac:dyDescent="0.25">
      <c r="A34" s="238"/>
      <c r="B34" s="228"/>
      <c r="C34" s="37"/>
      <c r="D34" s="38" t="s">
        <v>7</v>
      </c>
      <c r="E34" s="39"/>
      <c r="F34" s="40">
        <v>10</v>
      </c>
      <c r="G34" s="231"/>
      <c r="H34" s="41"/>
      <c r="I34" s="42" t="s">
        <v>10</v>
      </c>
      <c r="J34" s="40">
        <v>10</v>
      </c>
      <c r="K34" s="43"/>
      <c r="L34" s="115"/>
      <c r="M34" s="115"/>
      <c r="N34" s="115"/>
      <c r="O34" s="115"/>
    </row>
    <row r="35" spans="1:15" ht="18" customHeight="1" x14ac:dyDescent="0.2">
      <c r="A35" s="237">
        <v>45390</v>
      </c>
      <c r="B35" s="232" t="s">
        <v>13</v>
      </c>
      <c r="C35" s="44"/>
      <c r="D35" s="44" t="s">
        <v>7</v>
      </c>
      <c r="E35" s="45"/>
      <c r="F35" s="46">
        <v>10</v>
      </c>
      <c r="G35" s="185" t="s">
        <v>13</v>
      </c>
      <c r="H35" s="47"/>
      <c r="I35" s="47" t="s">
        <v>10</v>
      </c>
      <c r="J35" s="46">
        <v>10</v>
      </c>
      <c r="K35" s="48"/>
      <c r="L35" s="115"/>
      <c r="M35" s="115"/>
      <c r="N35" s="115"/>
      <c r="O35" s="115"/>
    </row>
    <row r="36" spans="1:15" ht="18" customHeight="1" x14ac:dyDescent="0.2">
      <c r="A36" s="238"/>
      <c r="B36" s="233"/>
      <c r="C36" s="49"/>
      <c r="D36" s="44" t="s">
        <v>7</v>
      </c>
      <c r="E36" s="45"/>
      <c r="F36" s="46">
        <v>10</v>
      </c>
      <c r="G36" s="235"/>
      <c r="H36" s="50"/>
      <c r="I36" s="51" t="s">
        <v>10</v>
      </c>
      <c r="J36" s="46">
        <v>10</v>
      </c>
      <c r="K36" s="52"/>
      <c r="L36" s="115"/>
      <c r="M36" s="115"/>
      <c r="N36" s="115"/>
      <c r="O36" s="115"/>
    </row>
    <row r="37" spans="1:15" ht="18" customHeight="1" x14ac:dyDescent="0.2">
      <c r="A37" s="238"/>
      <c r="B37" s="233"/>
      <c r="C37" s="49"/>
      <c r="D37" s="44" t="s">
        <v>7</v>
      </c>
      <c r="E37" s="45"/>
      <c r="F37" s="46">
        <v>10</v>
      </c>
      <c r="G37" s="235"/>
      <c r="H37" s="50"/>
      <c r="I37" s="51" t="s">
        <v>10</v>
      </c>
      <c r="J37" s="46">
        <v>10</v>
      </c>
      <c r="K37" s="52"/>
      <c r="L37" s="115"/>
      <c r="M37" s="115"/>
      <c r="N37" s="115"/>
      <c r="O37" s="115"/>
    </row>
    <row r="38" spans="1:15" ht="18.75" customHeight="1" thickBot="1" x14ac:dyDescent="0.25">
      <c r="A38" s="238"/>
      <c r="B38" s="234"/>
      <c r="C38" s="53"/>
      <c r="D38" s="54" t="s">
        <v>7</v>
      </c>
      <c r="E38" s="55"/>
      <c r="F38" s="56">
        <v>10</v>
      </c>
      <c r="G38" s="236"/>
      <c r="H38" s="57"/>
      <c r="I38" s="58" t="s">
        <v>10</v>
      </c>
      <c r="J38" s="56">
        <v>10</v>
      </c>
      <c r="K38" s="59"/>
      <c r="L38" s="115"/>
      <c r="M38" s="115"/>
      <c r="N38" s="115"/>
      <c r="O38" s="115"/>
    </row>
    <row r="39" spans="1:15" ht="18" customHeight="1" x14ac:dyDescent="0.2">
      <c r="A39" s="237">
        <v>45391</v>
      </c>
      <c r="B39" s="202" t="s">
        <v>14</v>
      </c>
      <c r="C39" s="60"/>
      <c r="D39" s="60" t="s">
        <v>7</v>
      </c>
      <c r="E39" s="61"/>
      <c r="F39" s="62">
        <v>10</v>
      </c>
      <c r="G39" s="205" t="s">
        <v>14</v>
      </c>
      <c r="H39" s="44"/>
      <c r="I39" s="44" t="s">
        <v>10</v>
      </c>
      <c r="J39" s="62">
        <v>10</v>
      </c>
      <c r="K39" s="45"/>
      <c r="L39" s="115"/>
      <c r="M39" s="115"/>
      <c r="N39" s="115"/>
      <c r="O39" s="115"/>
    </row>
    <row r="40" spans="1:15" ht="18" customHeight="1" x14ac:dyDescent="0.2">
      <c r="A40" s="238"/>
      <c r="B40" s="203"/>
      <c r="C40" s="63"/>
      <c r="D40" s="64" t="s">
        <v>7</v>
      </c>
      <c r="E40" s="65"/>
      <c r="F40" s="66">
        <v>10</v>
      </c>
      <c r="G40" s="206"/>
      <c r="H40" s="49"/>
      <c r="I40" s="44" t="s">
        <v>10</v>
      </c>
      <c r="J40" s="66">
        <v>10</v>
      </c>
      <c r="K40" s="67"/>
      <c r="L40" s="115"/>
      <c r="M40" s="115"/>
      <c r="N40" s="115"/>
      <c r="O40" s="115"/>
    </row>
    <row r="41" spans="1:15" ht="18" customHeight="1" x14ac:dyDescent="0.2">
      <c r="A41" s="238"/>
      <c r="B41" s="203"/>
      <c r="C41" s="63"/>
      <c r="D41" s="64" t="s">
        <v>7</v>
      </c>
      <c r="E41" s="65"/>
      <c r="F41" s="66">
        <v>10</v>
      </c>
      <c r="G41" s="206"/>
      <c r="H41" s="49"/>
      <c r="I41" s="44" t="s">
        <v>10</v>
      </c>
      <c r="J41" s="66">
        <v>10</v>
      </c>
      <c r="K41" s="67"/>
      <c r="L41" s="115"/>
      <c r="M41" s="115"/>
      <c r="N41" s="115"/>
      <c r="O41" s="115"/>
    </row>
    <row r="42" spans="1:15" ht="18.75" customHeight="1" thickBot="1" x14ac:dyDescent="0.25">
      <c r="A42" s="238"/>
      <c r="B42" s="204"/>
      <c r="C42" s="68"/>
      <c r="D42" s="69" t="s">
        <v>7</v>
      </c>
      <c r="E42" s="70"/>
      <c r="F42" s="71">
        <v>10</v>
      </c>
      <c r="G42" s="207"/>
      <c r="H42" s="53"/>
      <c r="I42" s="54" t="s">
        <v>10</v>
      </c>
      <c r="J42" s="71">
        <v>10</v>
      </c>
      <c r="K42" s="72"/>
      <c r="L42" s="115"/>
      <c r="M42" s="115"/>
      <c r="N42" s="115"/>
      <c r="O42" s="115"/>
    </row>
    <row r="43" spans="1:15" ht="18" customHeight="1" x14ac:dyDescent="0.2">
      <c r="A43" s="237">
        <v>45392</v>
      </c>
      <c r="B43" s="208" t="s">
        <v>15</v>
      </c>
      <c r="C43" s="16"/>
      <c r="D43" s="16" t="s">
        <v>7</v>
      </c>
      <c r="E43" s="73"/>
      <c r="F43" s="74">
        <v>10</v>
      </c>
      <c r="G43" s="211" t="s">
        <v>15</v>
      </c>
      <c r="H43" s="75"/>
      <c r="I43" s="75" t="s">
        <v>10</v>
      </c>
      <c r="J43" s="74">
        <v>10</v>
      </c>
      <c r="K43" s="76"/>
      <c r="L43" s="115"/>
      <c r="M43" s="115"/>
      <c r="N43" s="115"/>
      <c r="O43" s="115"/>
    </row>
    <row r="44" spans="1:15" ht="18" customHeight="1" x14ac:dyDescent="0.2">
      <c r="A44" s="238"/>
      <c r="B44" s="209"/>
      <c r="C44" s="15"/>
      <c r="D44" s="16" t="s">
        <v>7</v>
      </c>
      <c r="E44" s="73"/>
      <c r="F44" s="74">
        <v>10</v>
      </c>
      <c r="G44" s="212"/>
      <c r="H44" s="77"/>
      <c r="I44" s="78" t="s">
        <v>10</v>
      </c>
      <c r="J44" s="74">
        <v>10</v>
      </c>
      <c r="K44" s="79"/>
      <c r="L44" s="115"/>
      <c r="M44" s="115"/>
      <c r="N44" s="115"/>
      <c r="O44" s="115"/>
    </row>
    <row r="45" spans="1:15" ht="18" customHeight="1" x14ac:dyDescent="0.2">
      <c r="A45" s="238"/>
      <c r="B45" s="209"/>
      <c r="C45" s="15"/>
      <c r="D45" s="16" t="s">
        <v>7</v>
      </c>
      <c r="E45" s="73"/>
      <c r="F45" s="74">
        <v>10</v>
      </c>
      <c r="G45" s="212"/>
      <c r="H45" s="77"/>
      <c r="I45" s="78" t="s">
        <v>10</v>
      </c>
      <c r="J45" s="74">
        <v>10</v>
      </c>
      <c r="K45" s="79"/>
      <c r="L45" s="115"/>
      <c r="M45" s="115"/>
      <c r="N45" s="115"/>
      <c r="O45" s="115"/>
    </row>
    <row r="46" spans="1:15" ht="18.75" customHeight="1" thickBot="1" x14ac:dyDescent="0.25">
      <c r="A46" s="238"/>
      <c r="B46" s="210"/>
      <c r="C46" s="80"/>
      <c r="D46" s="81" t="s">
        <v>7</v>
      </c>
      <c r="E46" s="82"/>
      <c r="F46" s="83">
        <v>10</v>
      </c>
      <c r="G46" s="213"/>
      <c r="H46" s="84"/>
      <c r="I46" s="85" t="s">
        <v>10</v>
      </c>
      <c r="J46" s="83">
        <v>10</v>
      </c>
      <c r="K46" s="86"/>
      <c r="L46" s="115"/>
      <c r="M46" s="115"/>
      <c r="N46" s="115"/>
      <c r="O46" s="115"/>
    </row>
    <row r="47" spans="1:15" ht="18" customHeight="1" x14ac:dyDescent="0.2">
      <c r="A47" s="237">
        <v>45393</v>
      </c>
      <c r="B47" s="214" t="s">
        <v>16</v>
      </c>
      <c r="C47" s="87"/>
      <c r="D47" s="87" t="s">
        <v>7</v>
      </c>
      <c r="E47" s="88"/>
      <c r="F47" s="89">
        <v>10</v>
      </c>
      <c r="G47" s="217" t="s">
        <v>16</v>
      </c>
      <c r="H47" s="90"/>
      <c r="I47" s="90" t="s">
        <v>10</v>
      </c>
      <c r="J47" s="89">
        <v>10</v>
      </c>
      <c r="K47" s="91"/>
      <c r="L47" s="115"/>
      <c r="M47" s="115"/>
      <c r="N47" s="115"/>
      <c r="O47" s="115"/>
    </row>
    <row r="48" spans="1:15" ht="18" customHeight="1" x14ac:dyDescent="0.2">
      <c r="A48" s="238"/>
      <c r="B48" s="215"/>
      <c r="C48" s="92"/>
      <c r="D48" s="93" t="s">
        <v>7</v>
      </c>
      <c r="E48" s="94"/>
      <c r="F48" s="95">
        <v>10</v>
      </c>
      <c r="G48" s="218"/>
      <c r="H48" s="96"/>
      <c r="I48" s="97" t="s">
        <v>10</v>
      </c>
      <c r="J48" s="95">
        <v>10</v>
      </c>
      <c r="K48" s="98"/>
      <c r="L48" s="115"/>
      <c r="M48" s="115"/>
      <c r="N48" s="115"/>
      <c r="O48" s="115"/>
    </row>
    <row r="49" spans="1:15" ht="18" customHeight="1" x14ac:dyDescent="0.2">
      <c r="A49" s="238"/>
      <c r="B49" s="215"/>
      <c r="C49" s="92"/>
      <c r="D49" s="93" t="s">
        <v>7</v>
      </c>
      <c r="E49" s="94"/>
      <c r="F49" s="95">
        <v>10</v>
      </c>
      <c r="G49" s="218"/>
      <c r="H49" s="96"/>
      <c r="I49" s="97" t="s">
        <v>10</v>
      </c>
      <c r="J49" s="95">
        <v>10</v>
      </c>
      <c r="K49" s="98"/>
      <c r="L49" s="115"/>
      <c r="M49" s="115"/>
      <c r="N49" s="115"/>
      <c r="O49" s="115"/>
    </row>
    <row r="50" spans="1:15" ht="18.75" customHeight="1" thickBot="1" x14ac:dyDescent="0.25">
      <c r="A50" s="238"/>
      <c r="B50" s="216"/>
      <c r="C50" s="99"/>
      <c r="D50" s="100" t="s">
        <v>7</v>
      </c>
      <c r="E50" s="101"/>
      <c r="F50" s="102">
        <v>10</v>
      </c>
      <c r="G50" s="219"/>
      <c r="H50" s="103"/>
      <c r="I50" s="104" t="s">
        <v>10</v>
      </c>
      <c r="J50" s="102">
        <v>10</v>
      </c>
      <c r="K50" s="105"/>
      <c r="L50" s="115"/>
      <c r="M50" s="115"/>
      <c r="N50" s="115"/>
      <c r="O50" s="115"/>
    </row>
    <row r="51" spans="1:15" ht="23.25" x14ac:dyDescent="0.35">
      <c r="A51" s="118"/>
      <c r="B51" s="106"/>
      <c r="C51" s="107"/>
      <c r="D51" s="194" t="s">
        <v>20</v>
      </c>
      <c r="E51" s="195"/>
      <c r="F51" s="108">
        <f>SUM(F27:F50)</f>
        <v>240</v>
      </c>
      <c r="G51" s="107"/>
      <c r="H51" s="185" t="s">
        <v>20</v>
      </c>
      <c r="I51" s="186"/>
      <c r="J51" s="108">
        <f>SUM(J27:J50)</f>
        <v>240</v>
      </c>
      <c r="K51" s="109"/>
      <c r="L51" s="115"/>
      <c r="M51" s="115"/>
      <c r="N51" s="115"/>
      <c r="O51" s="115"/>
    </row>
    <row r="52" spans="1:15" ht="24" thickBot="1" x14ac:dyDescent="0.4">
      <c r="A52" s="119"/>
      <c r="B52" s="110"/>
      <c r="C52" s="111"/>
      <c r="D52" s="187" t="s">
        <v>21</v>
      </c>
      <c r="E52" s="188"/>
      <c r="F52" s="112">
        <f>F51/240*1</f>
        <v>1</v>
      </c>
      <c r="G52" s="111"/>
      <c r="H52" s="189" t="s">
        <v>22</v>
      </c>
      <c r="I52" s="190"/>
      <c r="J52" s="113">
        <f>J51/240*1</f>
        <v>1</v>
      </c>
      <c r="K52" s="114"/>
      <c r="L52" s="115"/>
      <c r="M52" s="115"/>
      <c r="N52" s="115"/>
      <c r="O52" s="115"/>
    </row>
    <row r="53" spans="1:15" ht="24" thickBot="1" x14ac:dyDescent="0.4">
      <c r="A53" s="120">
        <v>3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</row>
    <row r="54" spans="1:15" ht="21" thickBot="1" x14ac:dyDescent="0.35">
      <c r="A54" s="244" t="s">
        <v>25</v>
      </c>
      <c r="B54" s="191" t="s">
        <v>0</v>
      </c>
      <c r="C54" s="192"/>
      <c r="D54" s="192"/>
      <c r="E54" s="192"/>
      <c r="F54" s="192"/>
      <c r="G54" s="192"/>
      <c r="H54" s="192"/>
      <c r="I54" s="192"/>
      <c r="J54" s="192"/>
      <c r="K54" s="193"/>
      <c r="L54" s="115"/>
      <c r="M54" s="115"/>
      <c r="N54" s="115"/>
      <c r="O54" s="115"/>
    </row>
    <row r="55" spans="1:15" ht="21" thickBot="1" x14ac:dyDescent="0.35">
      <c r="A55" s="245"/>
      <c r="B55" s="196" t="s">
        <v>17</v>
      </c>
      <c r="C55" s="197"/>
      <c r="D55" s="197"/>
      <c r="E55" s="197"/>
      <c r="F55" s="198"/>
      <c r="G55" s="199" t="s">
        <v>1</v>
      </c>
      <c r="H55" s="200"/>
      <c r="I55" s="200"/>
      <c r="J55" s="200"/>
      <c r="K55" s="201"/>
      <c r="L55" s="115"/>
      <c r="M55" s="115"/>
      <c r="N55" s="115"/>
      <c r="O55" s="115"/>
    </row>
    <row r="56" spans="1:15" ht="41.25" thickBot="1" x14ac:dyDescent="0.25">
      <c r="A56" s="246"/>
      <c r="B56" s="2" t="s">
        <v>2</v>
      </c>
      <c r="C56" s="3" t="s">
        <v>6</v>
      </c>
      <c r="D56" s="3" t="s">
        <v>7</v>
      </c>
      <c r="E56" s="3" t="s">
        <v>8</v>
      </c>
      <c r="F56" s="4" t="s">
        <v>19</v>
      </c>
      <c r="G56" s="5" t="s">
        <v>2</v>
      </c>
      <c r="H56" s="6" t="s">
        <v>3</v>
      </c>
      <c r="I56" s="6" t="s">
        <v>4</v>
      </c>
      <c r="J56" s="7" t="s">
        <v>18</v>
      </c>
      <c r="K56" s="8" t="s">
        <v>5</v>
      </c>
      <c r="L56" s="115"/>
      <c r="M56" s="115"/>
      <c r="N56" s="115"/>
      <c r="O56" s="115"/>
    </row>
    <row r="57" spans="1:15" ht="18" x14ac:dyDescent="0.2">
      <c r="A57" s="237">
        <v>45395</v>
      </c>
      <c r="B57" s="220" t="s">
        <v>9</v>
      </c>
      <c r="C57" s="9"/>
      <c r="D57" s="9" t="s">
        <v>7</v>
      </c>
      <c r="E57" s="10"/>
      <c r="F57" s="11">
        <v>10</v>
      </c>
      <c r="G57" s="223" t="s">
        <v>9</v>
      </c>
      <c r="H57" s="12"/>
      <c r="I57" s="12" t="s">
        <v>10</v>
      </c>
      <c r="J57" s="11">
        <v>10</v>
      </c>
      <c r="K57" s="13"/>
      <c r="L57" s="115"/>
      <c r="M57" s="115"/>
      <c r="N57" s="115"/>
      <c r="O57" s="115"/>
    </row>
    <row r="58" spans="1:15" ht="18" x14ac:dyDescent="0.2">
      <c r="A58" s="238"/>
      <c r="B58" s="221"/>
      <c r="C58" s="14"/>
      <c r="D58" s="9" t="s">
        <v>7</v>
      </c>
      <c r="E58" s="10"/>
      <c r="F58" s="11">
        <v>10</v>
      </c>
      <c r="G58" s="224"/>
      <c r="H58" s="15"/>
      <c r="I58" s="16" t="s">
        <v>10</v>
      </c>
      <c r="J58" s="11">
        <v>10</v>
      </c>
      <c r="K58" s="17"/>
      <c r="L58" s="115"/>
      <c r="M58" s="115"/>
      <c r="N58" s="115"/>
      <c r="O58" s="115"/>
    </row>
    <row r="59" spans="1:15" ht="18" x14ac:dyDescent="0.2">
      <c r="A59" s="238"/>
      <c r="B59" s="221"/>
      <c r="C59" s="14"/>
      <c r="D59" s="9" t="s">
        <v>7</v>
      </c>
      <c r="E59" s="10"/>
      <c r="F59" s="11">
        <v>10</v>
      </c>
      <c r="G59" s="224"/>
      <c r="H59" s="15"/>
      <c r="I59" s="16" t="s">
        <v>10</v>
      </c>
      <c r="J59" s="11">
        <v>10</v>
      </c>
      <c r="K59" s="17"/>
      <c r="L59" s="115"/>
      <c r="M59" s="115"/>
      <c r="N59" s="115"/>
      <c r="O59" s="115"/>
    </row>
    <row r="60" spans="1:15" ht="18.75" thickBot="1" x14ac:dyDescent="0.25">
      <c r="A60" s="238"/>
      <c r="B60" s="222"/>
      <c r="C60" s="18"/>
      <c r="D60" s="19" t="s">
        <v>7</v>
      </c>
      <c r="E60" s="20"/>
      <c r="F60" s="21">
        <v>10</v>
      </c>
      <c r="G60" s="225"/>
      <c r="H60" s="22"/>
      <c r="I60" s="23" t="s">
        <v>10</v>
      </c>
      <c r="J60" s="21">
        <v>10</v>
      </c>
      <c r="K60" s="24"/>
      <c r="L60" s="115"/>
      <c r="M60" s="115"/>
      <c r="N60" s="115"/>
      <c r="O60" s="115"/>
    </row>
    <row r="61" spans="1:15" ht="18" customHeight="1" x14ac:dyDescent="0.2">
      <c r="A61" s="237">
        <v>45396</v>
      </c>
      <c r="B61" s="226" t="s">
        <v>12</v>
      </c>
      <c r="C61" s="25"/>
      <c r="D61" s="25"/>
      <c r="E61" s="26"/>
      <c r="F61" s="27"/>
      <c r="G61" s="229"/>
      <c r="H61" s="28"/>
      <c r="I61" s="28"/>
      <c r="J61" s="27"/>
      <c r="K61" s="29"/>
      <c r="L61" s="115"/>
      <c r="M61" s="115"/>
      <c r="N61" s="115"/>
      <c r="O61" s="115"/>
    </row>
    <row r="62" spans="1:15" ht="18" customHeight="1" x14ac:dyDescent="0.2">
      <c r="A62" s="238"/>
      <c r="B62" s="227"/>
      <c r="C62" s="30"/>
      <c r="D62" s="31"/>
      <c r="E62" s="32"/>
      <c r="F62" s="33"/>
      <c r="G62" s="230"/>
      <c r="H62" s="34"/>
      <c r="I62" s="35"/>
      <c r="J62" s="33"/>
      <c r="K62" s="36"/>
      <c r="L62" s="115"/>
      <c r="M62" s="115"/>
      <c r="N62" s="115"/>
      <c r="O62" s="115"/>
    </row>
    <row r="63" spans="1:15" ht="18" customHeight="1" x14ac:dyDescent="0.2">
      <c r="A63" s="238"/>
      <c r="B63" s="227"/>
      <c r="C63" s="30"/>
      <c r="D63" s="31"/>
      <c r="E63" s="32"/>
      <c r="F63" s="33"/>
      <c r="G63" s="230"/>
      <c r="H63" s="34"/>
      <c r="I63" s="35"/>
      <c r="J63" s="33"/>
      <c r="K63" s="36"/>
      <c r="L63" s="115"/>
      <c r="M63" s="115"/>
      <c r="N63" s="115"/>
      <c r="O63" s="115"/>
    </row>
    <row r="64" spans="1:15" ht="18.75" customHeight="1" thickBot="1" x14ac:dyDescent="0.25">
      <c r="A64" s="238"/>
      <c r="B64" s="228"/>
      <c r="C64" s="37"/>
      <c r="D64" s="38"/>
      <c r="E64" s="39"/>
      <c r="F64" s="40"/>
      <c r="G64" s="231"/>
      <c r="H64" s="41"/>
      <c r="I64" s="42"/>
      <c r="J64" s="40"/>
      <c r="K64" s="43"/>
      <c r="L64" s="115"/>
      <c r="M64" s="115"/>
      <c r="N64" s="115"/>
      <c r="O64" s="115"/>
    </row>
    <row r="65" spans="1:15" ht="18" customHeight="1" x14ac:dyDescent="0.2">
      <c r="A65" s="237">
        <v>45397</v>
      </c>
      <c r="B65" s="232" t="s">
        <v>13</v>
      </c>
      <c r="C65" s="44"/>
      <c r="D65" s="44" t="s">
        <v>7</v>
      </c>
      <c r="E65" s="45"/>
      <c r="F65" s="46">
        <v>10</v>
      </c>
      <c r="G65" s="185" t="s">
        <v>13</v>
      </c>
      <c r="H65" s="47"/>
      <c r="I65" s="47" t="s">
        <v>10</v>
      </c>
      <c r="J65" s="46">
        <v>10</v>
      </c>
      <c r="K65" s="48"/>
      <c r="L65" s="115"/>
      <c r="M65" s="115"/>
      <c r="N65" s="115"/>
      <c r="O65" s="115"/>
    </row>
    <row r="66" spans="1:15" ht="18" customHeight="1" x14ac:dyDescent="0.2">
      <c r="A66" s="238"/>
      <c r="B66" s="233"/>
      <c r="C66" s="49"/>
      <c r="D66" s="44" t="s">
        <v>7</v>
      </c>
      <c r="E66" s="45"/>
      <c r="F66" s="46">
        <v>10</v>
      </c>
      <c r="G66" s="235"/>
      <c r="H66" s="50"/>
      <c r="I66" s="51" t="s">
        <v>10</v>
      </c>
      <c r="J66" s="46">
        <v>10</v>
      </c>
      <c r="K66" s="52"/>
      <c r="L66" s="115"/>
      <c r="M66" s="115"/>
      <c r="N66" s="115"/>
      <c r="O66" s="115"/>
    </row>
    <row r="67" spans="1:15" ht="18" customHeight="1" x14ac:dyDescent="0.2">
      <c r="A67" s="238"/>
      <c r="B67" s="233"/>
      <c r="C67" s="49"/>
      <c r="D67" s="44" t="s">
        <v>7</v>
      </c>
      <c r="E67" s="45"/>
      <c r="F67" s="46">
        <v>10</v>
      </c>
      <c r="G67" s="235"/>
      <c r="H67" s="50"/>
      <c r="I67" s="51" t="s">
        <v>10</v>
      </c>
      <c r="J67" s="46">
        <v>10</v>
      </c>
      <c r="K67" s="52"/>
      <c r="L67" s="115"/>
      <c r="M67" s="115"/>
      <c r="N67" s="115"/>
      <c r="O67" s="115"/>
    </row>
    <row r="68" spans="1:15" ht="18.75" customHeight="1" thickBot="1" x14ac:dyDescent="0.25">
      <c r="A68" s="238"/>
      <c r="B68" s="234"/>
      <c r="C68" s="53"/>
      <c r="D68" s="54" t="s">
        <v>7</v>
      </c>
      <c r="E68" s="55"/>
      <c r="F68" s="56">
        <v>10</v>
      </c>
      <c r="G68" s="236"/>
      <c r="H68" s="57"/>
      <c r="I68" s="58" t="s">
        <v>10</v>
      </c>
      <c r="J68" s="56">
        <v>10</v>
      </c>
      <c r="K68" s="59"/>
      <c r="L68" s="115"/>
      <c r="M68" s="115"/>
      <c r="N68" s="115"/>
      <c r="O68" s="115"/>
    </row>
    <row r="69" spans="1:15" ht="18" customHeight="1" x14ac:dyDescent="0.2">
      <c r="A69" s="237">
        <v>45398</v>
      </c>
      <c r="B69" s="202" t="s">
        <v>14</v>
      </c>
      <c r="C69" s="60"/>
      <c r="D69" s="60" t="s">
        <v>7</v>
      </c>
      <c r="E69" s="61"/>
      <c r="F69" s="62">
        <v>10</v>
      </c>
      <c r="G69" s="205" t="s">
        <v>14</v>
      </c>
      <c r="H69" s="44"/>
      <c r="I69" s="44" t="s">
        <v>10</v>
      </c>
      <c r="J69" s="62">
        <v>10</v>
      </c>
      <c r="K69" s="45"/>
      <c r="L69" s="115"/>
      <c r="M69" s="115"/>
      <c r="N69" s="115"/>
      <c r="O69" s="115"/>
    </row>
    <row r="70" spans="1:15" ht="18" customHeight="1" x14ac:dyDescent="0.2">
      <c r="A70" s="238"/>
      <c r="B70" s="203"/>
      <c r="C70" s="63"/>
      <c r="D70" s="64" t="s">
        <v>7</v>
      </c>
      <c r="E70" s="65"/>
      <c r="F70" s="66">
        <v>10</v>
      </c>
      <c r="G70" s="206"/>
      <c r="H70" s="49"/>
      <c r="I70" s="44" t="s">
        <v>10</v>
      </c>
      <c r="J70" s="66">
        <v>10</v>
      </c>
      <c r="K70" s="67"/>
      <c r="L70" s="115"/>
      <c r="M70" s="115"/>
      <c r="N70" s="115"/>
      <c r="O70" s="115"/>
    </row>
    <row r="71" spans="1:15" ht="18" customHeight="1" x14ac:dyDescent="0.2">
      <c r="A71" s="238"/>
      <c r="B71" s="203"/>
      <c r="C71" s="63"/>
      <c r="D71" s="64" t="s">
        <v>7</v>
      </c>
      <c r="E71" s="65"/>
      <c r="F71" s="66">
        <v>10</v>
      </c>
      <c r="G71" s="206"/>
      <c r="H71" s="49"/>
      <c r="I71" s="44" t="s">
        <v>10</v>
      </c>
      <c r="J71" s="66">
        <v>10</v>
      </c>
      <c r="K71" s="67"/>
      <c r="L71" s="115"/>
      <c r="M71" s="115"/>
      <c r="N71" s="115"/>
      <c r="O71" s="115"/>
    </row>
    <row r="72" spans="1:15" ht="18.75" customHeight="1" thickBot="1" x14ac:dyDescent="0.25">
      <c r="A72" s="238"/>
      <c r="B72" s="204"/>
      <c r="C72" s="68"/>
      <c r="D72" s="69" t="s">
        <v>7</v>
      </c>
      <c r="E72" s="70"/>
      <c r="F72" s="71">
        <v>10</v>
      </c>
      <c r="G72" s="207"/>
      <c r="H72" s="53"/>
      <c r="I72" s="54" t="s">
        <v>10</v>
      </c>
      <c r="J72" s="71">
        <v>10</v>
      </c>
      <c r="K72" s="72"/>
      <c r="L72" s="115"/>
      <c r="M72" s="115"/>
      <c r="N72" s="115"/>
      <c r="O72" s="115"/>
    </row>
    <row r="73" spans="1:15" ht="18" customHeight="1" x14ac:dyDescent="0.2">
      <c r="A73" s="237">
        <v>45399</v>
      </c>
      <c r="B73" s="208" t="s">
        <v>15</v>
      </c>
      <c r="C73" s="16"/>
      <c r="D73" s="16" t="s">
        <v>7</v>
      </c>
      <c r="E73" s="73"/>
      <c r="F73" s="74">
        <v>10</v>
      </c>
      <c r="G73" s="211" t="s">
        <v>15</v>
      </c>
      <c r="H73" s="75"/>
      <c r="I73" s="75" t="s">
        <v>10</v>
      </c>
      <c r="J73" s="74">
        <v>10</v>
      </c>
      <c r="K73" s="76"/>
      <c r="L73" s="115"/>
      <c r="M73" s="115"/>
      <c r="N73" s="115"/>
      <c r="O73" s="115"/>
    </row>
    <row r="74" spans="1:15" ht="18" customHeight="1" x14ac:dyDescent="0.2">
      <c r="A74" s="238"/>
      <c r="B74" s="209"/>
      <c r="C74" s="15"/>
      <c r="D74" s="16" t="s">
        <v>7</v>
      </c>
      <c r="E74" s="73"/>
      <c r="F74" s="74">
        <v>10</v>
      </c>
      <c r="G74" s="212"/>
      <c r="H74" s="77"/>
      <c r="I74" s="78" t="s">
        <v>10</v>
      </c>
      <c r="J74" s="74">
        <v>10</v>
      </c>
      <c r="K74" s="79"/>
      <c r="L74" s="115"/>
      <c r="M74" s="115"/>
      <c r="N74" s="115"/>
      <c r="O74" s="115"/>
    </row>
    <row r="75" spans="1:15" ht="18" customHeight="1" x14ac:dyDescent="0.2">
      <c r="A75" s="238"/>
      <c r="B75" s="209"/>
      <c r="C75" s="15"/>
      <c r="D75" s="16" t="s">
        <v>7</v>
      </c>
      <c r="E75" s="73"/>
      <c r="F75" s="74">
        <v>10</v>
      </c>
      <c r="G75" s="212"/>
      <c r="H75" s="77"/>
      <c r="I75" s="78" t="s">
        <v>10</v>
      </c>
      <c r="J75" s="74">
        <v>10</v>
      </c>
      <c r="K75" s="79"/>
      <c r="L75" s="115"/>
      <c r="M75" s="115"/>
      <c r="N75" s="115"/>
      <c r="O75" s="115"/>
    </row>
    <row r="76" spans="1:15" ht="18.75" customHeight="1" thickBot="1" x14ac:dyDescent="0.25">
      <c r="A76" s="238"/>
      <c r="B76" s="210"/>
      <c r="C76" s="80"/>
      <c r="D76" s="81" t="s">
        <v>7</v>
      </c>
      <c r="E76" s="82"/>
      <c r="F76" s="83">
        <v>10</v>
      </c>
      <c r="G76" s="213"/>
      <c r="H76" s="84"/>
      <c r="I76" s="85" t="s">
        <v>10</v>
      </c>
      <c r="J76" s="83">
        <v>10</v>
      </c>
      <c r="K76" s="86"/>
      <c r="L76" s="115"/>
      <c r="M76" s="115"/>
      <c r="N76" s="115"/>
      <c r="O76" s="115"/>
    </row>
    <row r="77" spans="1:15" ht="18" customHeight="1" x14ac:dyDescent="0.2">
      <c r="A77" s="237">
        <v>45400</v>
      </c>
      <c r="B77" s="214" t="s">
        <v>16</v>
      </c>
      <c r="C77" s="87"/>
      <c r="D77" s="87" t="s">
        <v>7</v>
      </c>
      <c r="E77" s="88"/>
      <c r="F77" s="89">
        <v>10</v>
      </c>
      <c r="G77" s="217" t="s">
        <v>16</v>
      </c>
      <c r="H77" s="90"/>
      <c r="I77" s="90" t="s">
        <v>10</v>
      </c>
      <c r="J77" s="89">
        <v>10</v>
      </c>
      <c r="K77" s="91"/>
      <c r="L77" s="115"/>
      <c r="M77" s="115"/>
      <c r="N77" s="115"/>
      <c r="O77" s="115"/>
    </row>
    <row r="78" spans="1:15" ht="18" customHeight="1" x14ac:dyDescent="0.2">
      <c r="A78" s="238"/>
      <c r="B78" s="215"/>
      <c r="C78" s="92"/>
      <c r="D78" s="93" t="s">
        <v>7</v>
      </c>
      <c r="E78" s="94"/>
      <c r="F78" s="95">
        <v>10</v>
      </c>
      <c r="G78" s="218"/>
      <c r="H78" s="96"/>
      <c r="I78" s="97" t="s">
        <v>10</v>
      </c>
      <c r="J78" s="95">
        <v>10</v>
      </c>
      <c r="K78" s="98"/>
      <c r="L78" s="115"/>
      <c r="M78" s="115"/>
      <c r="N78" s="115"/>
      <c r="O78" s="115"/>
    </row>
    <row r="79" spans="1:15" ht="18" customHeight="1" x14ac:dyDescent="0.2">
      <c r="A79" s="238"/>
      <c r="B79" s="215"/>
      <c r="C79" s="92"/>
      <c r="D79" s="93" t="s">
        <v>7</v>
      </c>
      <c r="E79" s="94"/>
      <c r="F79" s="95">
        <v>10</v>
      </c>
      <c r="G79" s="218"/>
      <c r="H79" s="96"/>
      <c r="I79" s="97" t="s">
        <v>10</v>
      </c>
      <c r="J79" s="95">
        <v>10</v>
      </c>
      <c r="K79" s="98"/>
      <c r="L79" s="115"/>
      <c r="M79" s="115"/>
      <c r="N79" s="115"/>
      <c r="O79" s="115"/>
    </row>
    <row r="80" spans="1:15" ht="18.75" customHeight="1" thickBot="1" x14ac:dyDescent="0.25">
      <c r="A80" s="238"/>
      <c r="B80" s="216"/>
      <c r="C80" s="99"/>
      <c r="D80" s="100" t="s">
        <v>7</v>
      </c>
      <c r="E80" s="101"/>
      <c r="F80" s="102">
        <v>10</v>
      </c>
      <c r="G80" s="219"/>
      <c r="H80" s="103"/>
      <c r="I80" s="104" t="s">
        <v>10</v>
      </c>
      <c r="J80" s="102">
        <v>10</v>
      </c>
      <c r="K80" s="105"/>
      <c r="L80" s="115"/>
      <c r="M80" s="115"/>
      <c r="N80" s="115"/>
      <c r="O80" s="115"/>
    </row>
    <row r="81" spans="1:15" ht="23.25" x14ac:dyDescent="0.35">
      <c r="A81" s="118"/>
      <c r="B81" s="106"/>
      <c r="C81" s="107"/>
      <c r="D81" s="194" t="s">
        <v>20</v>
      </c>
      <c r="E81" s="195"/>
      <c r="F81" s="108">
        <f>SUM(F57:F80)</f>
        <v>200</v>
      </c>
      <c r="G81" s="107"/>
      <c r="H81" s="185" t="s">
        <v>20</v>
      </c>
      <c r="I81" s="186"/>
      <c r="J81" s="108">
        <f>SUM(J57:J80)</f>
        <v>200</v>
      </c>
      <c r="K81" s="109"/>
      <c r="L81" s="115"/>
      <c r="M81" s="115"/>
      <c r="N81" s="115"/>
      <c r="O81" s="115"/>
    </row>
    <row r="82" spans="1:15" ht="24" thickBot="1" x14ac:dyDescent="0.4">
      <c r="A82" s="119"/>
      <c r="B82" s="110"/>
      <c r="C82" s="111"/>
      <c r="D82" s="187" t="s">
        <v>21</v>
      </c>
      <c r="E82" s="188"/>
      <c r="F82" s="112">
        <f>F81/240*1</f>
        <v>0.83333333333333337</v>
      </c>
      <c r="G82" s="111"/>
      <c r="H82" s="189" t="s">
        <v>22</v>
      </c>
      <c r="I82" s="190"/>
      <c r="J82" s="113">
        <f>J81/240*1</f>
        <v>0.83333333333333337</v>
      </c>
      <c r="K82" s="114"/>
      <c r="L82" s="115"/>
      <c r="M82" s="115"/>
      <c r="N82" s="115"/>
      <c r="O82" s="115"/>
    </row>
    <row r="83" spans="1:15" ht="24" thickBot="1" x14ac:dyDescent="0.4">
      <c r="A83" s="120">
        <v>4</v>
      </c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</row>
    <row r="84" spans="1:15" ht="21" thickBot="1" x14ac:dyDescent="0.35">
      <c r="A84" s="244" t="s">
        <v>25</v>
      </c>
      <c r="B84" s="191" t="s">
        <v>0</v>
      </c>
      <c r="C84" s="192"/>
      <c r="D84" s="192"/>
      <c r="E84" s="192"/>
      <c r="F84" s="192"/>
      <c r="G84" s="192"/>
      <c r="H84" s="192"/>
      <c r="I84" s="192"/>
      <c r="J84" s="192"/>
      <c r="K84" s="193"/>
      <c r="L84" s="115"/>
      <c r="M84" s="115"/>
      <c r="N84" s="115"/>
      <c r="O84" s="115"/>
    </row>
    <row r="85" spans="1:15" ht="21" thickBot="1" x14ac:dyDescent="0.35">
      <c r="A85" s="245"/>
      <c r="B85" s="196" t="s">
        <v>17</v>
      </c>
      <c r="C85" s="197"/>
      <c r="D85" s="197"/>
      <c r="E85" s="197"/>
      <c r="F85" s="198"/>
      <c r="G85" s="199" t="s">
        <v>1</v>
      </c>
      <c r="H85" s="200"/>
      <c r="I85" s="200"/>
      <c r="J85" s="200"/>
      <c r="K85" s="201"/>
      <c r="L85" s="115"/>
      <c r="M85" s="115"/>
      <c r="N85" s="115"/>
      <c r="O85" s="115"/>
    </row>
    <row r="86" spans="1:15" ht="41.25" thickBot="1" x14ac:dyDescent="0.25">
      <c r="A86" s="246"/>
      <c r="B86" s="2" t="s">
        <v>2</v>
      </c>
      <c r="C86" s="3" t="s">
        <v>6</v>
      </c>
      <c r="D86" s="3" t="s">
        <v>7</v>
      </c>
      <c r="E86" s="3" t="s">
        <v>8</v>
      </c>
      <c r="F86" s="4" t="s">
        <v>19</v>
      </c>
      <c r="G86" s="5" t="s">
        <v>2</v>
      </c>
      <c r="H86" s="6" t="s">
        <v>3</v>
      </c>
      <c r="I86" s="6" t="s">
        <v>4</v>
      </c>
      <c r="J86" s="7" t="s">
        <v>18</v>
      </c>
      <c r="K86" s="8" t="s">
        <v>5</v>
      </c>
      <c r="L86" s="115"/>
      <c r="M86" s="115"/>
      <c r="N86" s="115"/>
      <c r="O86" s="115"/>
    </row>
    <row r="87" spans="1:15" ht="27.75" customHeight="1" x14ac:dyDescent="0.2">
      <c r="A87" s="237">
        <v>45402</v>
      </c>
      <c r="B87" s="220" t="s">
        <v>9</v>
      </c>
      <c r="C87" s="9"/>
      <c r="D87" s="9" t="s">
        <v>7</v>
      </c>
      <c r="E87" s="10"/>
      <c r="F87" s="11">
        <v>10</v>
      </c>
      <c r="G87" s="223" t="s">
        <v>9</v>
      </c>
      <c r="H87" s="12"/>
      <c r="I87" s="12" t="s">
        <v>10</v>
      </c>
      <c r="J87" s="11">
        <v>10</v>
      </c>
      <c r="K87" s="13"/>
      <c r="L87" s="115"/>
      <c r="M87" s="115"/>
      <c r="N87" s="115"/>
      <c r="O87" s="115"/>
    </row>
    <row r="88" spans="1:15" ht="28.5" customHeight="1" x14ac:dyDescent="0.2">
      <c r="A88" s="238"/>
      <c r="B88" s="221"/>
      <c r="C88" s="14"/>
      <c r="D88" s="9" t="s">
        <v>7</v>
      </c>
      <c r="E88" s="10"/>
      <c r="F88" s="11">
        <v>10</v>
      </c>
      <c r="G88" s="224"/>
      <c r="H88" s="15"/>
      <c r="I88" s="16" t="s">
        <v>10</v>
      </c>
      <c r="J88" s="11">
        <v>10</v>
      </c>
      <c r="K88" s="17"/>
      <c r="L88" s="115"/>
      <c r="M88" s="115"/>
      <c r="N88" s="115"/>
      <c r="O88" s="115"/>
    </row>
    <row r="89" spans="1:15" ht="24.75" customHeight="1" x14ac:dyDescent="0.2">
      <c r="A89" s="238"/>
      <c r="B89" s="221"/>
      <c r="C89" s="14"/>
      <c r="D89" s="9" t="s">
        <v>7</v>
      </c>
      <c r="E89" s="10"/>
      <c r="F89" s="11">
        <v>10</v>
      </c>
      <c r="G89" s="224"/>
      <c r="H89" s="15"/>
      <c r="I89" s="16" t="s">
        <v>10</v>
      </c>
      <c r="J89" s="11">
        <v>10</v>
      </c>
      <c r="K89" s="17"/>
      <c r="L89" s="115"/>
      <c r="M89" s="115"/>
      <c r="N89" s="115"/>
      <c r="O89" s="115"/>
    </row>
    <row r="90" spans="1:15" ht="28.5" customHeight="1" thickBot="1" x14ac:dyDescent="0.25">
      <c r="A90" s="238"/>
      <c r="B90" s="222"/>
      <c r="C90" s="18"/>
      <c r="D90" s="19" t="s">
        <v>7</v>
      </c>
      <c r="E90" s="20"/>
      <c r="F90" s="21">
        <v>10</v>
      </c>
      <c r="G90" s="225"/>
      <c r="H90" s="22"/>
      <c r="I90" s="23" t="s">
        <v>10</v>
      </c>
      <c r="J90" s="21">
        <v>10</v>
      </c>
      <c r="K90" s="24"/>
      <c r="L90" s="115"/>
      <c r="M90" s="115"/>
      <c r="N90" s="115"/>
      <c r="O90" s="115"/>
    </row>
    <row r="91" spans="1:15" ht="73.5" customHeight="1" x14ac:dyDescent="0.2">
      <c r="A91" s="237">
        <v>45403</v>
      </c>
      <c r="B91" s="226" t="s">
        <v>12</v>
      </c>
      <c r="C91" s="154" t="s">
        <v>48</v>
      </c>
      <c r="D91" s="25" t="s">
        <v>7</v>
      </c>
      <c r="E91" s="26"/>
      <c r="F91" s="27">
        <v>10</v>
      </c>
      <c r="G91" s="229" t="s">
        <v>12</v>
      </c>
      <c r="H91" s="156" t="s">
        <v>43</v>
      </c>
      <c r="I91" s="28" t="s">
        <v>10</v>
      </c>
      <c r="J91" s="27">
        <v>10</v>
      </c>
      <c r="K91" s="29"/>
      <c r="L91" s="115"/>
      <c r="M91" s="115"/>
      <c r="N91" s="115"/>
      <c r="O91" s="115"/>
    </row>
    <row r="92" spans="1:15" ht="61.5" customHeight="1" x14ac:dyDescent="0.2">
      <c r="A92" s="238"/>
      <c r="B92" s="227"/>
      <c r="C92" s="30"/>
      <c r="D92" s="31" t="s">
        <v>7</v>
      </c>
      <c r="E92" s="32"/>
      <c r="F92" s="33">
        <v>10</v>
      </c>
      <c r="G92" s="230"/>
      <c r="H92" s="157" t="s">
        <v>53</v>
      </c>
      <c r="I92" s="35" t="s">
        <v>10</v>
      </c>
      <c r="J92" s="33">
        <v>10</v>
      </c>
      <c r="K92" s="36"/>
      <c r="L92" s="115"/>
      <c r="M92" s="115"/>
      <c r="N92" s="115"/>
      <c r="O92" s="115"/>
    </row>
    <row r="93" spans="1:15" ht="42.75" customHeight="1" x14ac:dyDescent="0.2">
      <c r="A93" s="238"/>
      <c r="B93" s="227"/>
      <c r="C93" s="30"/>
      <c r="D93" s="31" t="s">
        <v>7</v>
      </c>
      <c r="E93" s="32"/>
      <c r="F93" s="33">
        <v>10</v>
      </c>
      <c r="G93" s="230"/>
      <c r="H93" s="158"/>
      <c r="I93" s="35" t="s">
        <v>10</v>
      </c>
      <c r="J93" s="33">
        <v>10</v>
      </c>
      <c r="K93" s="36"/>
      <c r="L93" s="115"/>
      <c r="M93" s="115"/>
      <c r="N93" s="115"/>
      <c r="O93" s="115"/>
    </row>
    <row r="94" spans="1:15" ht="39" customHeight="1" thickBot="1" x14ac:dyDescent="0.25">
      <c r="A94" s="238"/>
      <c r="B94" s="228"/>
      <c r="C94" s="37"/>
      <c r="D94" s="38" t="s">
        <v>7</v>
      </c>
      <c r="E94" s="39"/>
      <c r="F94" s="40">
        <v>10</v>
      </c>
      <c r="G94" s="231"/>
      <c r="H94" s="159"/>
      <c r="I94" s="42" t="s">
        <v>10</v>
      </c>
      <c r="J94" s="40">
        <v>10</v>
      </c>
      <c r="K94" s="43"/>
      <c r="L94" s="115"/>
      <c r="M94" s="115"/>
      <c r="N94" s="115"/>
      <c r="O94" s="115"/>
    </row>
    <row r="95" spans="1:15" ht="54.75" customHeight="1" x14ac:dyDescent="0.2">
      <c r="A95" s="237">
        <v>45404</v>
      </c>
      <c r="B95" s="232" t="s">
        <v>13</v>
      </c>
      <c r="C95" s="44"/>
      <c r="D95" s="44" t="s">
        <v>7</v>
      </c>
      <c r="E95" s="45"/>
      <c r="F95" s="46">
        <v>10</v>
      </c>
      <c r="G95" s="185" t="s">
        <v>13</v>
      </c>
      <c r="H95" s="160" t="s">
        <v>52</v>
      </c>
      <c r="I95" s="47" t="s">
        <v>10</v>
      </c>
      <c r="J95" s="46">
        <v>10</v>
      </c>
      <c r="K95" s="48"/>
      <c r="L95" s="115"/>
      <c r="M95" s="115"/>
      <c r="N95" s="115"/>
      <c r="O95" s="115"/>
    </row>
    <row r="96" spans="1:15" ht="32.25" customHeight="1" x14ac:dyDescent="0.2">
      <c r="A96" s="238"/>
      <c r="B96" s="233"/>
      <c r="C96" s="49"/>
      <c r="D96" s="44" t="s">
        <v>7</v>
      </c>
      <c r="E96" s="45"/>
      <c r="F96" s="46">
        <v>10</v>
      </c>
      <c r="G96" s="235"/>
      <c r="H96" s="161"/>
      <c r="I96" s="51" t="s">
        <v>10</v>
      </c>
      <c r="J96" s="46">
        <v>10</v>
      </c>
      <c r="K96" s="52"/>
      <c r="L96" s="115"/>
      <c r="M96" s="115"/>
      <c r="N96" s="115"/>
      <c r="O96" s="115"/>
    </row>
    <row r="97" spans="1:15" ht="18" customHeight="1" x14ac:dyDescent="0.2">
      <c r="A97" s="238"/>
      <c r="B97" s="233"/>
      <c r="C97" s="49"/>
      <c r="D97" s="44" t="s">
        <v>7</v>
      </c>
      <c r="E97" s="45"/>
      <c r="F97" s="46">
        <v>10</v>
      </c>
      <c r="G97" s="235"/>
      <c r="H97" s="161"/>
      <c r="I97" s="51" t="s">
        <v>10</v>
      </c>
      <c r="J97" s="46">
        <v>10</v>
      </c>
      <c r="K97" s="52"/>
      <c r="L97" s="115"/>
      <c r="M97" s="115"/>
      <c r="N97" s="115"/>
      <c r="O97" s="115"/>
    </row>
    <row r="98" spans="1:15" ht="18.75" customHeight="1" thickBot="1" x14ac:dyDescent="0.25">
      <c r="A98" s="238"/>
      <c r="B98" s="234"/>
      <c r="C98" s="53"/>
      <c r="D98" s="54" t="s">
        <v>7</v>
      </c>
      <c r="E98" s="55"/>
      <c r="F98" s="56">
        <v>10</v>
      </c>
      <c r="G98" s="236"/>
      <c r="H98" s="162"/>
      <c r="I98" s="58" t="s">
        <v>10</v>
      </c>
      <c r="J98" s="56">
        <v>10</v>
      </c>
      <c r="K98" s="59"/>
      <c r="L98" s="115"/>
      <c r="M98" s="115"/>
      <c r="N98" s="115"/>
      <c r="O98" s="115"/>
    </row>
    <row r="99" spans="1:15" ht="120.75" customHeight="1" x14ac:dyDescent="0.2">
      <c r="A99" s="237">
        <v>45405</v>
      </c>
      <c r="B99" s="202" t="s">
        <v>14</v>
      </c>
      <c r="C99" s="60" t="s">
        <v>47</v>
      </c>
      <c r="D99" s="60" t="s">
        <v>7</v>
      </c>
      <c r="E99" s="62">
        <v>10</v>
      </c>
      <c r="F99" s="62">
        <v>10</v>
      </c>
      <c r="G99" s="205" t="s">
        <v>14</v>
      </c>
      <c r="H99" s="163" t="s">
        <v>49</v>
      </c>
      <c r="I99" s="44" t="s">
        <v>10</v>
      </c>
      <c r="J99" s="62">
        <v>10</v>
      </c>
      <c r="K99" s="45"/>
      <c r="L99" s="115"/>
      <c r="M99" s="115"/>
      <c r="N99" s="115"/>
      <c r="O99" s="115"/>
    </row>
    <row r="100" spans="1:15" ht="39.75" customHeight="1" x14ac:dyDescent="0.2">
      <c r="A100" s="238"/>
      <c r="B100" s="203"/>
      <c r="C100" s="63"/>
      <c r="D100" s="64" t="s">
        <v>7</v>
      </c>
      <c r="E100" s="65"/>
      <c r="F100" s="66">
        <v>10</v>
      </c>
      <c r="G100" s="206"/>
      <c r="H100" s="150" t="s">
        <v>50</v>
      </c>
      <c r="I100" s="44" t="s">
        <v>10</v>
      </c>
      <c r="J100" s="66">
        <v>10</v>
      </c>
      <c r="K100" s="67"/>
      <c r="L100" s="115"/>
      <c r="M100" s="115"/>
      <c r="N100" s="115"/>
      <c r="O100" s="115"/>
    </row>
    <row r="101" spans="1:15" ht="42" customHeight="1" x14ac:dyDescent="0.2">
      <c r="A101" s="238"/>
      <c r="B101" s="203"/>
      <c r="C101" s="63"/>
      <c r="D101" s="64" t="s">
        <v>7</v>
      </c>
      <c r="E101" s="65"/>
      <c r="F101" s="66">
        <v>10</v>
      </c>
      <c r="G101" s="206"/>
      <c r="H101" s="164"/>
      <c r="I101" s="44" t="s">
        <v>10</v>
      </c>
      <c r="J101" s="66">
        <v>10</v>
      </c>
      <c r="K101" s="67"/>
      <c r="L101" s="115"/>
      <c r="M101" s="115"/>
      <c r="N101" s="115"/>
      <c r="O101" s="115"/>
    </row>
    <row r="102" spans="1:15" ht="18.75" customHeight="1" thickBot="1" x14ac:dyDescent="0.25">
      <c r="A102" s="238"/>
      <c r="B102" s="204"/>
      <c r="C102" s="68"/>
      <c r="D102" s="69" t="s">
        <v>7</v>
      </c>
      <c r="E102" s="70"/>
      <c r="F102" s="71">
        <v>10</v>
      </c>
      <c r="G102" s="207"/>
      <c r="H102" s="165"/>
      <c r="I102" s="54" t="s">
        <v>10</v>
      </c>
      <c r="J102" s="71">
        <v>10</v>
      </c>
      <c r="K102" s="72"/>
      <c r="L102" s="115"/>
      <c r="M102" s="115"/>
      <c r="N102" s="115"/>
      <c r="O102" s="115"/>
    </row>
    <row r="103" spans="1:15" ht="40.5" customHeight="1" x14ac:dyDescent="0.2">
      <c r="A103" s="237">
        <v>45406</v>
      </c>
      <c r="B103" s="208" t="s">
        <v>15</v>
      </c>
      <c r="C103" s="16"/>
      <c r="D103" s="16" t="s">
        <v>7</v>
      </c>
      <c r="E103" s="73"/>
      <c r="F103" s="74">
        <v>10</v>
      </c>
      <c r="G103" s="211" t="s">
        <v>15</v>
      </c>
      <c r="H103" s="166" t="s">
        <v>51</v>
      </c>
      <c r="I103" s="75" t="s">
        <v>10</v>
      </c>
      <c r="J103" s="74">
        <v>10</v>
      </c>
      <c r="K103" s="76"/>
      <c r="L103" s="115"/>
      <c r="M103" s="115"/>
      <c r="N103" s="115"/>
      <c r="O103" s="115"/>
    </row>
    <row r="104" spans="1:15" ht="61.5" customHeight="1" x14ac:dyDescent="0.2">
      <c r="A104" s="238"/>
      <c r="B104" s="209"/>
      <c r="C104" s="15"/>
      <c r="D104" s="16" t="s">
        <v>7</v>
      </c>
      <c r="E104" s="73"/>
      <c r="F104" s="74">
        <v>10</v>
      </c>
      <c r="G104" s="212"/>
      <c r="H104" s="167" t="s">
        <v>55</v>
      </c>
      <c r="I104" s="78" t="s">
        <v>10</v>
      </c>
      <c r="J104" s="74">
        <v>10</v>
      </c>
      <c r="K104" s="79"/>
      <c r="L104" s="115"/>
      <c r="M104" s="115"/>
      <c r="N104" s="115"/>
      <c r="O104" s="115"/>
    </row>
    <row r="105" spans="1:15" ht="18" customHeight="1" x14ac:dyDescent="0.2">
      <c r="A105" s="238"/>
      <c r="B105" s="209"/>
      <c r="C105" s="15"/>
      <c r="D105" s="16" t="s">
        <v>7</v>
      </c>
      <c r="E105" s="73"/>
      <c r="F105" s="74">
        <v>10</v>
      </c>
      <c r="G105" s="212"/>
      <c r="H105" s="168"/>
      <c r="I105" s="78" t="s">
        <v>10</v>
      </c>
      <c r="J105" s="74">
        <v>10</v>
      </c>
      <c r="K105" s="79"/>
      <c r="L105" s="115"/>
      <c r="M105" s="115"/>
      <c r="N105" s="115"/>
      <c r="O105" s="115"/>
    </row>
    <row r="106" spans="1:15" ht="18.75" customHeight="1" thickBot="1" x14ac:dyDescent="0.25">
      <c r="A106" s="238"/>
      <c r="B106" s="210"/>
      <c r="C106" s="80"/>
      <c r="D106" s="81" t="s">
        <v>7</v>
      </c>
      <c r="E106" s="82"/>
      <c r="F106" s="83">
        <v>10</v>
      </c>
      <c r="G106" s="213"/>
      <c r="H106" s="169"/>
      <c r="I106" s="85" t="s">
        <v>10</v>
      </c>
      <c r="J106" s="83">
        <v>10</v>
      </c>
      <c r="K106" s="86"/>
      <c r="L106" s="115"/>
      <c r="M106" s="115"/>
      <c r="N106" s="115"/>
      <c r="O106" s="115"/>
    </row>
    <row r="107" spans="1:15" ht="48.75" customHeight="1" x14ac:dyDescent="0.2">
      <c r="A107" s="237">
        <v>45407</v>
      </c>
      <c r="B107" s="214" t="s">
        <v>16</v>
      </c>
      <c r="C107" s="87"/>
      <c r="D107" s="87" t="s">
        <v>7</v>
      </c>
      <c r="E107" s="88"/>
      <c r="F107" s="89">
        <v>10</v>
      </c>
      <c r="G107" s="217" t="s">
        <v>16</v>
      </c>
      <c r="H107" s="170" t="s">
        <v>54</v>
      </c>
      <c r="I107" s="90" t="s">
        <v>10</v>
      </c>
      <c r="J107" s="89">
        <v>10</v>
      </c>
      <c r="K107" s="91"/>
      <c r="L107" s="115"/>
      <c r="M107" s="115"/>
      <c r="N107" s="115"/>
      <c r="O107" s="115"/>
    </row>
    <row r="108" spans="1:15" ht="27.75" customHeight="1" x14ac:dyDescent="0.2">
      <c r="A108" s="238"/>
      <c r="B108" s="215"/>
      <c r="C108" s="92"/>
      <c r="D108" s="93" t="s">
        <v>7</v>
      </c>
      <c r="E108" s="94"/>
      <c r="F108" s="95">
        <v>10</v>
      </c>
      <c r="G108" s="218"/>
      <c r="H108" s="96"/>
      <c r="I108" s="97" t="s">
        <v>10</v>
      </c>
      <c r="J108" s="95">
        <v>10</v>
      </c>
      <c r="K108" s="98"/>
      <c r="L108" s="115"/>
      <c r="M108" s="115"/>
      <c r="N108" s="115"/>
      <c r="O108" s="115"/>
    </row>
    <row r="109" spans="1:15" ht="30" customHeight="1" x14ac:dyDescent="0.2">
      <c r="A109" s="238"/>
      <c r="B109" s="215"/>
      <c r="C109" s="92"/>
      <c r="D109" s="93" t="s">
        <v>7</v>
      </c>
      <c r="E109" s="94"/>
      <c r="F109" s="95">
        <v>10</v>
      </c>
      <c r="G109" s="218"/>
      <c r="H109" s="96"/>
      <c r="I109" s="97" t="s">
        <v>10</v>
      </c>
      <c r="J109" s="95">
        <v>10</v>
      </c>
      <c r="K109" s="98"/>
      <c r="L109" s="115"/>
      <c r="M109" s="115"/>
      <c r="N109" s="115"/>
      <c r="O109" s="115"/>
    </row>
    <row r="110" spans="1:15" ht="30.75" customHeight="1" thickBot="1" x14ac:dyDescent="0.25">
      <c r="A110" s="238"/>
      <c r="B110" s="216"/>
      <c r="C110" s="99"/>
      <c r="D110" s="100" t="s">
        <v>7</v>
      </c>
      <c r="E110" s="101"/>
      <c r="F110" s="102">
        <v>10</v>
      </c>
      <c r="G110" s="219"/>
      <c r="H110" s="103"/>
      <c r="I110" s="104" t="s">
        <v>10</v>
      </c>
      <c r="J110" s="102">
        <v>10</v>
      </c>
      <c r="K110" s="105"/>
      <c r="L110" s="115"/>
      <c r="M110" s="115"/>
      <c r="N110" s="115"/>
      <c r="O110" s="115"/>
    </row>
    <row r="111" spans="1:15" ht="23.25" x14ac:dyDescent="0.35">
      <c r="A111" s="118"/>
      <c r="B111" s="106"/>
      <c r="C111" s="107"/>
      <c r="D111" s="194" t="s">
        <v>20</v>
      </c>
      <c r="E111" s="195"/>
      <c r="F111" s="108">
        <f>SUM(F87:F110)</f>
        <v>240</v>
      </c>
      <c r="G111" s="107"/>
      <c r="H111" s="185" t="s">
        <v>20</v>
      </c>
      <c r="I111" s="186"/>
      <c r="J111" s="108">
        <f>SUM(J87:J110)</f>
        <v>240</v>
      </c>
      <c r="K111" s="109"/>
      <c r="L111" s="115"/>
      <c r="M111" s="115"/>
      <c r="N111" s="115"/>
      <c r="O111" s="115"/>
    </row>
    <row r="112" spans="1:15" ht="24" thickBot="1" x14ac:dyDescent="0.4">
      <c r="A112" s="119"/>
      <c r="B112" s="110"/>
      <c r="C112" s="111"/>
      <c r="D112" s="187" t="s">
        <v>21</v>
      </c>
      <c r="E112" s="188"/>
      <c r="F112" s="112">
        <f>F111/240*1</f>
        <v>1</v>
      </c>
      <c r="G112" s="111"/>
      <c r="H112" s="189" t="s">
        <v>22</v>
      </c>
      <c r="I112" s="190"/>
      <c r="J112" s="113">
        <f>J111/240*1</f>
        <v>1</v>
      </c>
      <c r="K112" s="114"/>
      <c r="L112" s="115"/>
      <c r="M112" s="115"/>
      <c r="N112" s="115"/>
      <c r="O112" s="115"/>
    </row>
    <row r="113" spans="1:15" ht="24" thickBot="1" x14ac:dyDescent="0.4">
      <c r="A113" s="120">
        <v>5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</row>
    <row r="114" spans="1:15" ht="21" thickBot="1" x14ac:dyDescent="0.35">
      <c r="A114" s="244" t="s">
        <v>25</v>
      </c>
      <c r="B114" s="191" t="s">
        <v>0</v>
      </c>
      <c r="C114" s="192"/>
      <c r="D114" s="192"/>
      <c r="E114" s="192"/>
      <c r="F114" s="192"/>
      <c r="G114" s="192"/>
      <c r="H114" s="192"/>
      <c r="I114" s="192"/>
      <c r="J114" s="192"/>
      <c r="K114" s="193"/>
      <c r="L114" s="115"/>
      <c r="M114" s="115"/>
      <c r="N114" s="115"/>
      <c r="O114" s="115"/>
    </row>
    <row r="115" spans="1:15" ht="21" thickBot="1" x14ac:dyDescent="0.35">
      <c r="A115" s="245"/>
      <c r="B115" s="196" t="s">
        <v>17</v>
      </c>
      <c r="C115" s="197"/>
      <c r="D115" s="197"/>
      <c r="E115" s="197"/>
      <c r="F115" s="198"/>
      <c r="G115" s="199" t="s">
        <v>1</v>
      </c>
      <c r="H115" s="200"/>
      <c r="I115" s="200"/>
      <c r="J115" s="200"/>
      <c r="K115" s="201"/>
      <c r="L115" s="115"/>
      <c r="M115" s="115"/>
      <c r="N115" s="115"/>
      <c r="O115" s="115"/>
    </row>
    <row r="116" spans="1:15" ht="41.25" thickBot="1" x14ac:dyDescent="0.25">
      <c r="A116" s="246"/>
      <c r="B116" s="2" t="s">
        <v>2</v>
      </c>
      <c r="C116" s="3" t="s">
        <v>6</v>
      </c>
      <c r="D116" s="3" t="s">
        <v>7</v>
      </c>
      <c r="E116" s="3" t="s">
        <v>8</v>
      </c>
      <c r="F116" s="4" t="s">
        <v>19</v>
      </c>
      <c r="G116" s="5" t="s">
        <v>2</v>
      </c>
      <c r="H116" s="6" t="s">
        <v>3</v>
      </c>
      <c r="I116" s="6" t="s">
        <v>4</v>
      </c>
      <c r="J116" s="7" t="s">
        <v>18</v>
      </c>
      <c r="K116" s="8" t="s">
        <v>5</v>
      </c>
      <c r="L116" s="115"/>
      <c r="M116" s="115"/>
      <c r="N116" s="115"/>
      <c r="O116" s="115"/>
    </row>
    <row r="117" spans="1:15" ht="27" customHeight="1" x14ac:dyDescent="0.2">
      <c r="A117" s="237">
        <v>45409</v>
      </c>
      <c r="B117" s="220" t="s">
        <v>9</v>
      </c>
      <c r="C117" s="9"/>
      <c r="D117" s="9" t="s">
        <v>7</v>
      </c>
      <c r="E117" s="10"/>
      <c r="F117" s="11">
        <v>10</v>
      </c>
      <c r="G117" s="223" t="s">
        <v>9</v>
      </c>
      <c r="H117" s="12"/>
      <c r="I117" s="12" t="s">
        <v>10</v>
      </c>
      <c r="J117" s="11">
        <v>10</v>
      </c>
      <c r="K117" s="13"/>
      <c r="L117" s="115"/>
      <c r="M117" s="115"/>
      <c r="N117" s="115"/>
      <c r="O117" s="115"/>
    </row>
    <row r="118" spans="1:15" ht="18" x14ac:dyDescent="0.2">
      <c r="A118" s="238"/>
      <c r="B118" s="221"/>
      <c r="C118" s="14"/>
      <c r="D118" s="9" t="s">
        <v>7</v>
      </c>
      <c r="E118" s="10"/>
      <c r="F118" s="11">
        <v>10</v>
      </c>
      <c r="G118" s="224"/>
      <c r="H118" s="15"/>
      <c r="I118" s="16" t="s">
        <v>10</v>
      </c>
      <c r="J118" s="11">
        <v>10</v>
      </c>
      <c r="K118" s="17"/>
      <c r="L118" s="115"/>
      <c r="M118" s="115"/>
      <c r="N118" s="115"/>
      <c r="O118" s="115"/>
    </row>
    <row r="119" spans="1:15" ht="18" x14ac:dyDescent="0.2">
      <c r="A119" s="238"/>
      <c r="B119" s="221"/>
      <c r="C119" s="14"/>
      <c r="D119" s="9" t="s">
        <v>7</v>
      </c>
      <c r="E119" s="10"/>
      <c r="F119" s="11">
        <v>10</v>
      </c>
      <c r="G119" s="224"/>
      <c r="H119" s="15"/>
      <c r="I119" s="16" t="s">
        <v>10</v>
      </c>
      <c r="J119" s="11">
        <v>10</v>
      </c>
      <c r="K119" s="17"/>
      <c r="L119" s="115"/>
      <c r="M119" s="115"/>
      <c r="N119" s="115"/>
      <c r="O119" s="115"/>
    </row>
    <row r="120" spans="1:15" ht="18.75" thickBot="1" x14ac:dyDescent="0.25">
      <c r="A120" s="238"/>
      <c r="B120" s="222"/>
      <c r="C120" s="18"/>
      <c r="D120" s="19" t="s">
        <v>7</v>
      </c>
      <c r="E120" s="20"/>
      <c r="F120" s="21">
        <v>10</v>
      </c>
      <c r="G120" s="225"/>
      <c r="H120" s="22"/>
      <c r="I120" s="23" t="s">
        <v>10</v>
      </c>
      <c r="J120" s="21">
        <v>10</v>
      </c>
      <c r="K120" s="24"/>
      <c r="L120" s="115"/>
      <c r="M120" s="115"/>
      <c r="N120" s="115"/>
      <c r="O120" s="115"/>
    </row>
    <row r="121" spans="1:15" ht="256.5" customHeight="1" x14ac:dyDescent="0.2">
      <c r="A121" s="237">
        <v>45410</v>
      </c>
      <c r="B121" s="226" t="s">
        <v>12</v>
      </c>
      <c r="C121" s="147" t="s">
        <v>40</v>
      </c>
      <c r="D121" s="25" t="s">
        <v>7</v>
      </c>
      <c r="E121" s="27">
        <v>10</v>
      </c>
      <c r="F121" s="27">
        <v>10</v>
      </c>
      <c r="G121" s="229" t="s">
        <v>12</v>
      </c>
      <c r="H121" s="172" t="s">
        <v>57</v>
      </c>
      <c r="I121" s="28" t="s">
        <v>10</v>
      </c>
      <c r="J121" s="27">
        <v>10</v>
      </c>
      <c r="K121" s="173" t="e" vm="1">
        <v>#VALUE!</v>
      </c>
      <c r="L121" s="115"/>
      <c r="M121" s="115"/>
      <c r="N121" s="115"/>
      <c r="O121" s="115"/>
    </row>
    <row r="122" spans="1:15" ht="45.75" customHeight="1" x14ac:dyDescent="0.2">
      <c r="A122" s="238"/>
      <c r="B122" s="227"/>
      <c r="C122" s="148" t="s">
        <v>41</v>
      </c>
      <c r="D122" s="31" t="s">
        <v>7</v>
      </c>
      <c r="E122" s="145"/>
      <c r="F122" s="33">
        <v>10</v>
      </c>
      <c r="G122" s="230"/>
      <c r="H122" s="175" t="s">
        <v>62</v>
      </c>
      <c r="I122" s="35" t="s">
        <v>10</v>
      </c>
      <c r="J122" s="33">
        <v>10</v>
      </c>
      <c r="K122" s="36"/>
      <c r="L122" s="115"/>
      <c r="M122" s="115"/>
      <c r="N122" s="115"/>
      <c r="O122" s="115"/>
    </row>
    <row r="123" spans="1:15" ht="24.75" customHeight="1" x14ac:dyDescent="0.2">
      <c r="A123" s="238"/>
      <c r="B123" s="227"/>
      <c r="C123" s="148"/>
      <c r="D123" s="31" t="s">
        <v>7</v>
      </c>
      <c r="E123" s="145"/>
      <c r="F123" s="33">
        <v>10</v>
      </c>
      <c r="G123" s="230"/>
      <c r="H123" s="34"/>
      <c r="I123" s="35" t="s">
        <v>10</v>
      </c>
      <c r="J123" s="33">
        <v>10</v>
      </c>
      <c r="K123" s="36"/>
      <c r="L123" s="115"/>
      <c r="M123" s="115"/>
      <c r="N123" s="115"/>
      <c r="O123" s="115"/>
    </row>
    <row r="124" spans="1:15" ht="26.25" customHeight="1" thickBot="1" x14ac:dyDescent="0.25">
      <c r="A124" s="238"/>
      <c r="B124" s="228"/>
      <c r="C124" s="37"/>
      <c r="D124" s="38" t="s">
        <v>7</v>
      </c>
      <c r="E124" s="146"/>
      <c r="F124" s="40">
        <v>10</v>
      </c>
      <c r="G124" s="231"/>
      <c r="H124" s="41"/>
      <c r="I124" s="42" t="s">
        <v>10</v>
      </c>
      <c r="J124" s="40">
        <v>10</v>
      </c>
      <c r="K124" s="43"/>
      <c r="L124" s="115"/>
      <c r="M124" s="115"/>
      <c r="N124" s="115"/>
      <c r="O124" s="115"/>
    </row>
    <row r="125" spans="1:15" ht="26.25" customHeight="1" x14ac:dyDescent="0.2">
      <c r="A125" s="237">
        <v>45411</v>
      </c>
      <c r="B125" s="232" t="s">
        <v>13</v>
      </c>
      <c r="C125" s="149" t="s">
        <v>42</v>
      </c>
      <c r="D125" s="44" t="s">
        <v>7</v>
      </c>
      <c r="E125" s="45"/>
      <c r="F125" s="46">
        <v>10</v>
      </c>
      <c r="G125" s="185" t="s">
        <v>13</v>
      </c>
      <c r="H125" s="47" t="s">
        <v>58</v>
      </c>
      <c r="I125" s="47" t="s">
        <v>10</v>
      </c>
      <c r="J125" s="46">
        <v>10</v>
      </c>
      <c r="K125" s="48"/>
      <c r="L125" s="115"/>
      <c r="M125" s="115"/>
      <c r="N125" s="115"/>
      <c r="O125" s="115"/>
    </row>
    <row r="126" spans="1:15" ht="47.25" customHeight="1" x14ac:dyDescent="0.2">
      <c r="A126" s="238"/>
      <c r="B126" s="233"/>
      <c r="C126" s="150" t="s">
        <v>46</v>
      </c>
      <c r="D126" s="44" t="s">
        <v>7</v>
      </c>
      <c r="E126" s="45"/>
      <c r="F126" s="46">
        <v>10</v>
      </c>
      <c r="G126" s="235"/>
      <c r="H126" s="50"/>
      <c r="I126" s="51" t="s">
        <v>10</v>
      </c>
      <c r="J126" s="46">
        <v>10</v>
      </c>
      <c r="K126" s="52"/>
      <c r="L126" s="115"/>
      <c r="M126" s="115"/>
      <c r="N126" s="115"/>
      <c r="O126" s="115"/>
    </row>
    <row r="127" spans="1:15" ht="33" customHeight="1" x14ac:dyDescent="0.2">
      <c r="A127" s="238"/>
      <c r="B127" s="233"/>
      <c r="C127" s="164" t="s">
        <v>96</v>
      </c>
      <c r="D127" s="44" t="s">
        <v>7</v>
      </c>
      <c r="E127" s="45"/>
      <c r="F127" s="46">
        <v>10</v>
      </c>
      <c r="G127" s="235"/>
      <c r="H127" s="50" t="s">
        <v>59</v>
      </c>
      <c r="I127" s="51" t="s">
        <v>10</v>
      </c>
      <c r="J127" s="46">
        <v>10</v>
      </c>
      <c r="K127" s="52"/>
      <c r="L127" s="115"/>
      <c r="M127" s="115"/>
      <c r="N127" s="115"/>
      <c r="O127" s="115"/>
    </row>
    <row r="128" spans="1:15" ht="27.75" customHeight="1" thickBot="1" x14ac:dyDescent="0.25">
      <c r="A128" s="238"/>
      <c r="B128" s="234"/>
      <c r="C128" s="53"/>
      <c r="D128" s="54" t="s">
        <v>7</v>
      </c>
      <c r="E128" s="55"/>
      <c r="F128" s="56">
        <v>10</v>
      </c>
      <c r="G128" s="236"/>
      <c r="H128" s="57"/>
      <c r="I128" s="58" t="s">
        <v>10</v>
      </c>
      <c r="J128" s="56">
        <v>10</v>
      </c>
      <c r="K128" s="59"/>
      <c r="L128" s="115"/>
      <c r="M128" s="115"/>
      <c r="N128" s="115"/>
      <c r="O128" s="115"/>
    </row>
    <row r="129" spans="1:15" ht="26.25" customHeight="1" x14ac:dyDescent="0.2">
      <c r="A129" s="237">
        <v>45412</v>
      </c>
      <c r="B129" s="202" t="s">
        <v>14</v>
      </c>
      <c r="C129" s="151" t="s">
        <v>44</v>
      </c>
      <c r="D129" s="60" t="s">
        <v>7</v>
      </c>
      <c r="E129" s="61"/>
      <c r="F129" s="62">
        <v>10</v>
      </c>
      <c r="G129" s="205" t="s">
        <v>14</v>
      </c>
      <c r="H129" s="44" t="s">
        <v>58</v>
      </c>
      <c r="I129" s="44" t="s">
        <v>10</v>
      </c>
      <c r="J129" s="62">
        <v>10</v>
      </c>
      <c r="K129" s="45"/>
      <c r="L129" s="115"/>
      <c r="M129" s="115"/>
      <c r="N129" s="115"/>
      <c r="O129" s="115"/>
    </row>
    <row r="130" spans="1:15" ht="60" customHeight="1" x14ac:dyDescent="0.2">
      <c r="A130" s="238"/>
      <c r="B130" s="203"/>
      <c r="C130" s="152" t="s">
        <v>45</v>
      </c>
      <c r="D130" s="64" t="s">
        <v>7</v>
      </c>
      <c r="E130" s="65"/>
      <c r="F130" s="66">
        <v>10</v>
      </c>
      <c r="G130" s="206"/>
      <c r="H130" s="174" t="s">
        <v>61</v>
      </c>
      <c r="I130" s="44" t="s">
        <v>10</v>
      </c>
      <c r="J130" s="66">
        <v>10</v>
      </c>
      <c r="K130" s="67"/>
      <c r="L130" s="115"/>
      <c r="M130" s="115"/>
      <c r="N130" s="115"/>
      <c r="O130" s="115"/>
    </row>
    <row r="131" spans="1:15" ht="71.25" customHeight="1" x14ac:dyDescent="0.2">
      <c r="A131" s="238"/>
      <c r="B131" s="203"/>
      <c r="C131" s="63" t="s">
        <v>60</v>
      </c>
      <c r="D131" s="64" t="s">
        <v>7</v>
      </c>
      <c r="E131" s="65"/>
      <c r="F131" s="66">
        <v>10</v>
      </c>
      <c r="G131" s="206"/>
      <c r="H131" s="174" t="s">
        <v>97</v>
      </c>
      <c r="I131" s="44" t="s">
        <v>10</v>
      </c>
      <c r="J131" s="66">
        <v>10</v>
      </c>
      <c r="K131" s="67"/>
      <c r="L131" s="115"/>
      <c r="M131" s="115"/>
      <c r="N131" s="115"/>
      <c r="O131" s="115"/>
    </row>
    <row r="132" spans="1:15" ht="30" customHeight="1" thickBot="1" x14ac:dyDescent="0.25">
      <c r="A132" s="238"/>
      <c r="B132" s="204"/>
      <c r="C132" s="68"/>
      <c r="D132" s="69" t="s">
        <v>7</v>
      </c>
      <c r="E132" s="70"/>
      <c r="F132" s="71">
        <v>10</v>
      </c>
      <c r="G132" s="207"/>
      <c r="H132" s="53"/>
      <c r="I132" s="54" t="s">
        <v>10</v>
      </c>
      <c r="J132" s="71">
        <v>10</v>
      </c>
      <c r="K132" s="72"/>
      <c r="L132" s="115"/>
      <c r="M132" s="115"/>
      <c r="N132" s="115"/>
      <c r="O132" s="115"/>
    </row>
    <row r="133" spans="1:15" ht="27.75" customHeight="1" x14ac:dyDescent="0.2">
      <c r="A133" s="237">
        <v>45413</v>
      </c>
      <c r="B133" s="208" t="s">
        <v>15</v>
      </c>
      <c r="C133" s="153" t="s">
        <v>63</v>
      </c>
      <c r="D133" s="16" t="s">
        <v>7</v>
      </c>
      <c r="E133" s="73"/>
      <c r="F133" s="74">
        <v>10</v>
      </c>
      <c r="G133" s="211" t="s">
        <v>15</v>
      </c>
      <c r="H133" s="75" t="s">
        <v>64</v>
      </c>
      <c r="I133" s="75" t="s">
        <v>10</v>
      </c>
      <c r="J133" s="74">
        <v>10</v>
      </c>
      <c r="K133" s="76"/>
      <c r="L133" s="115"/>
      <c r="M133" s="115"/>
      <c r="N133" s="115"/>
      <c r="O133" s="115"/>
    </row>
    <row r="134" spans="1:15" ht="51" customHeight="1" x14ac:dyDescent="0.2">
      <c r="A134" s="238"/>
      <c r="B134" s="209"/>
      <c r="C134" s="155" t="s">
        <v>66</v>
      </c>
      <c r="D134" s="16" t="s">
        <v>7</v>
      </c>
      <c r="E134" s="73"/>
      <c r="F134" s="74">
        <v>10</v>
      </c>
      <c r="G134" s="212"/>
      <c r="H134" s="176" t="s">
        <v>65</v>
      </c>
      <c r="I134" s="78" t="s">
        <v>10</v>
      </c>
      <c r="J134" s="74">
        <v>10</v>
      </c>
      <c r="K134" s="79"/>
      <c r="L134" s="115"/>
      <c r="M134" s="115"/>
      <c r="N134" s="115"/>
      <c r="O134" s="115"/>
    </row>
    <row r="135" spans="1:15" ht="27.75" customHeight="1" x14ac:dyDescent="0.2">
      <c r="A135" s="238"/>
      <c r="B135" s="209"/>
      <c r="C135" s="15"/>
      <c r="D135" s="16" t="s">
        <v>7</v>
      </c>
      <c r="E135" s="73"/>
      <c r="F135" s="74">
        <v>10</v>
      </c>
      <c r="G135" s="212"/>
      <c r="H135" s="77"/>
      <c r="I135" s="78" t="s">
        <v>10</v>
      </c>
      <c r="J135" s="74">
        <v>10</v>
      </c>
      <c r="K135" s="79"/>
      <c r="L135" s="115"/>
      <c r="M135" s="115"/>
      <c r="N135" s="115"/>
      <c r="O135" s="115"/>
    </row>
    <row r="136" spans="1:15" ht="30" customHeight="1" thickBot="1" x14ac:dyDescent="0.25">
      <c r="A136" s="238"/>
      <c r="B136" s="210"/>
      <c r="C136" s="80"/>
      <c r="D136" s="81" t="s">
        <v>7</v>
      </c>
      <c r="E136" s="82"/>
      <c r="F136" s="83">
        <v>10</v>
      </c>
      <c r="G136" s="213"/>
      <c r="H136" s="84"/>
      <c r="I136" s="85" t="s">
        <v>10</v>
      </c>
      <c r="J136" s="83">
        <v>10</v>
      </c>
      <c r="K136" s="86"/>
      <c r="L136" s="115"/>
      <c r="M136" s="115"/>
      <c r="N136" s="115"/>
      <c r="O136" s="115"/>
    </row>
    <row r="137" spans="1:15" ht="42" customHeight="1" x14ac:dyDescent="0.2">
      <c r="A137" s="237">
        <v>45414</v>
      </c>
      <c r="B137" s="214" t="s">
        <v>16</v>
      </c>
      <c r="C137" s="171" t="s">
        <v>56</v>
      </c>
      <c r="D137" s="87" t="s">
        <v>7</v>
      </c>
      <c r="E137" s="88"/>
      <c r="F137" s="89">
        <v>10</v>
      </c>
      <c r="G137" s="217" t="s">
        <v>16</v>
      </c>
      <c r="H137" s="90" t="s">
        <v>98</v>
      </c>
      <c r="I137" s="90" t="s">
        <v>10</v>
      </c>
      <c r="J137" s="89">
        <v>10</v>
      </c>
      <c r="K137" s="184" t="s">
        <v>99</v>
      </c>
      <c r="L137" s="115"/>
      <c r="M137" s="115"/>
      <c r="N137" s="115"/>
      <c r="O137" s="115"/>
    </row>
    <row r="138" spans="1:15" ht="27.75" customHeight="1" x14ac:dyDescent="0.2">
      <c r="A138" s="238"/>
      <c r="B138" s="215"/>
      <c r="C138" s="92" t="s">
        <v>67</v>
      </c>
      <c r="D138" s="93" t="s">
        <v>7</v>
      </c>
      <c r="E138" s="94"/>
      <c r="F138" s="95">
        <v>10</v>
      </c>
      <c r="G138" s="218"/>
      <c r="H138" s="96" t="s">
        <v>104</v>
      </c>
      <c r="I138" s="97" t="s">
        <v>10</v>
      </c>
      <c r="J138" s="95">
        <v>10</v>
      </c>
      <c r="K138" s="98"/>
      <c r="L138" s="115"/>
      <c r="M138" s="115"/>
      <c r="N138" s="115"/>
      <c r="O138" s="115"/>
    </row>
    <row r="139" spans="1:15" ht="42" customHeight="1" x14ac:dyDescent="0.2">
      <c r="A139" s="238"/>
      <c r="B139" s="215"/>
      <c r="C139" s="92" t="s">
        <v>77</v>
      </c>
      <c r="D139" s="93" t="s">
        <v>7</v>
      </c>
      <c r="E139" s="94"/>
      <c r="F139" s="95">
        <v>10</v>
      </c>
      <c r="G139" s="218"/>
      <c r="H139" s="179" t="s">
        <v>78</v>
      </c>
      <c r="I139" s="97" t="s">
        <v>10</v>
      </c>
      <c r="J139" s="95">
        <v>10</v>
      </c>
      <c r="K139" s="98"/>
      <c r="L139" s="115"/>
      <c r="M139" s="115"/>
      <c r="N139" s="115"/>
      <c r="O139" s="115"/>
    </row>
    <row r="140" spans="1:15" ht="35.25" customHeight="1" thickBot="1" x14ac:dyDescent="0.25">
      <c r="A140" s="238"/>
      <c r="B140" s="216"/>
      <c r="C140" s="99"/>
      <c r="D140" s="100" t="s">
        <v>7</v>
      </c>
      <c r="E140" s="101"/>
      <c r="F140" s="102">
        <v>10</v>
      </c>
      <c r="G140" s="219"/>
      <c r="H140" s="103"/>
      <c r="I140" s="104" t="s">
        <v>10</v>
      </c>
      <c r="J140" s="102">
        <v>10</v>
      </c>
      <c r="K140" s="105"/>
      <c r="L140" s="115"/>
      <c r="M140" s="115"/>
      <c r="N140" s="115"/>
      <c r="O140" s="115"/>
    </row>
    <row r="141" spans="1:15" ht="23.25" x14ac:dyDescent="0.35">
      <c r="A141" s="118"/>
      <c r="B141" s="106"/>
      <c r="C141" s="107"/>
      <c r="D141" s="194" t="s">
        <v>20</v>
      </c>
      <c r="E141" s="195"/>
      <c r="F141" s="108">
        <f>SUM(F117:F140)</f>
        <v>240</v>
      </c>
      <c r="G141" s="107"/>
      <c r="H141" s="185" t="s">
        <v>20</v>
      </c>
      <c r="I141" s="186"/>
      <c r="J141" s="108">
        <f>SUM(J117:J140)</f>
        <v>240</v>
      </c>
      <c r="K141" s="109"/>
      <c r="L141" s="115"/>
      <c r="M141" s="115"/>
      <c r="N141" s="115"/>
      <c r="O141" s="115"/>
    </row>
    <row r="142" spans="1:15" ht="24" thickBot="1" x14ac:dyDescent="0.4">
      <c r="A142" s="119"/>
      <c r="B142" s="110"/>
      <c r="C142" s="111"/>
      <c r="D142" s="187" t="s">
        <v>21</v>
      </c>
      <c r="E142" s="188"/>
      <c r="F142" s="112">
        <f>F141/240*1</f>
        <v>1</v>
      </c>
      <c r="G142" s="111"/>
      <c r="H142" s="189" t="s">
        <v>22</v>
      </c>
      <c r="I142" s="190"/>
      <c r="J142" s="113">
        <f>J141/240*1</f>
        <v>1</v>
      </c>
      <c r="K142" s="114"/>
      <c r="L142" s="115"/>
      <c r="M142" s="115"/>
      <c r="N142" s="115"/>
      <c r="O142" s="115"/>
    </row>
    <row r="143" spans="1:15" ht="24" thickBot="1" x14ac:dyDescent="0.4">
      <c r="A143" s="120">
        <v>6</v>
      </c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</row>
    <row r="144" spans="1:15" ht="21" thickBot="1" x14ac:dyDescent="0.35">
      <c r="A144" s="244" t="s">
        <v>25</v>
      </c>
      <c r="B144" s="191" t="s">
        <v>0</v>
      </c>
      <c r="C144" s="192"/>
      <c r="D144" s="192"/>
      <c r="E144" s="192"/>
      <c r="F144" s="192"/>
      <c r="G144" s="192"/>
      <c r="H144" s="192"/>
      <c r="I144" s="192"/>
      <c r="J144" s="192"/>
      <c r="K144" s="193"/>
      <c r="L144" s="115"/>
      <c r="M144" s="115"/>
      <c r="N144" s="115"/>
      <c r="O144" s="115"/>
    </row>
    <row r="145" spans="1:15" ht="21" thickBot="1" x14ac:dyDescent="0.35">
      <c r="A145" s="245"/>
      <c r="B145" s="196" t="s">
        <v>17</v>
      </c>
      <c r="C145" s="197"/>
      <c r="D145" s="197"/>
      <c r="E145" s="197"/>
      <c r="F145" s="198"/>
      <c r="G145" s="199" t="s">
        <v>1</v>
      </c>
      <c r="H145" s="200"/>
      <c r="I145" s="200"/>
      <c r="J145" s="200"/>
      <c r="K145" s="201"/>
      <c r="L145" s="115"/>
      <c r="M145" s="115"/>
      <c r="N145" s="115"/>
      <c r="O145" s="115"/>
    </row>
    <row r="146" spans="1:15" ht="41.25" thickBot="1" x14ac:dyDescent="0.25">
      <c r="A146" s="246"/>
      <c r="B146" s="2" t="s">
        <v>2</v>
      </c>
      <c r="C146" s="3" t="s">
        <v>6</v>
      </c>
      <c r="D146" s="3" t="s">
        <v>7</v>
      </c>
      <c r="E146" s="3" t="s">
        <v>8</v>
      </c>
      <c r="F146" s="4" t="s">
        <v>19</v>
      </c>
      <c r="G146" s="5" t="s">
        <v>2</v>
      </c>
      <c r="H146" s="6" t="s">
        <v>3</v>
      </c>
      <c r="I146" s="6" t="s">
        <v>4</v>
      </c>
      <c r="J146" s="7" t="s">
        <v>18</v>
      </c>
      <c r="K146" s="8" t="s">
        <v>5</v>
      </c>
      <c r="L146" s="115"/>
      <c r="M146" s="115"/>
      <c r="N146" s="115"/>
      <c r="O146" s="115"/>
    </row>
    <row r="147" spans="1:15" ht="36" customHeight="1" x14ac:dyDescent="0.2">
      <c r="A147" s="237">
        <v>45416</v>
      </c>
      <c r="B147" s="220" t="s">
        <v>9</v>
      </c>
      <c r="C147" s="9" t="s">
        <v>81</v>
      </c>
      <c r="D147" s="9" t="s">
        <v>7</v>
      </c>
      <c r="E147" s="10"/>
      <c r="F147" s="11">
        <v>7</v>
      </c>
      <c r="G147" s="223" t="s">
        <v>9</v>
      </c>
      <c r="H147" s="177" t="s">
        <v>100</v>
      </c>
      <c r="I147" s="12" t="s">
        <v>10</v>
      </c>
      <c r="J147" s="11">
        <v>7</v>
      </c>
      <c r="K147" s="13"/>
      <c r="L147" s="115"/>
      <c r="M147" s="115"/>
      <c r="N147" s="115"/>
      <c r="O147" s="115"/>
    </row>
    <row r="148" spans="1:15" ht="35.25" customHeight="1" x14ac:dyDescent="0.2">
      <c r="A148" s="238"/>
      <c r="B148" s="221"/>
      <c r="C148" s="14" t="s">
        <v>68</v>
      </c>
      <c r="D148" s="9" t="s">
        <v>7</v>
      </c>
      <c r="E148" s="10"/>
      <c r="F148" s="11">
        <v>7</v>
      </c>
      <c r="G148" s="224"/>
      <c r="H148" s="15" t="s">
        <v>69</v>
      </c>
      <c r="I148" s="16" t="s">
        <v>10</v>
      </c>
      <c r="J148" s="11">
        <v>7</v>
      </c>
      <c r="K148" s="17"/>
      <c r="L148" s="115"/>
      <c r="M148" s="115"/>
      <c r="N148" s="115"/>
      <c r="O148" s="115"/>
    </row>
    <row r="149" spans="1:15" ht="48" customHeight="1" x14ac:dyDescent="0.2">
      <c r="A149" s="238"/>
      <c r="B149" s="221"/>
      <c r="C149" s="14" t="s">
        <v>70</v>
      </c>
      <c r="D149" s="9" t="s">
        <v>7</v>
      </c>
      <c r="E149" s="10"/>
      <c r="F149" s="11">
        <v>7</v>
      </c>
      <c r="G149" s="224"/>
      <c r="H149" s="178" t="s">
        <v>71</v>
      </c>
      <c r="I149" s="16" t="s">
        <v>10</v>
      </c>
      <c r="J149" s="11">
        <v>7</v>
      </c>
      <c r="K149" s="17"/>
      <c r="L149" s="115"/>
      <c r="M149" s="115"/>
      <c r="N149" s="115"/>
      <c r="O149" s="115"/>
    </row>
    <row r="150" spans="1:15" ht="37.5" customHeight="1" thickBot="1" x14ac:dyDescent="0.25">
      <c r="A150" s="238"/>
      <c r="B150" s="222"/>
      <c r="C150" s="18"/>
      <c r="D150" s="19" t="s">
        <v>7</v>
      </c>
      <c r="E150" s="20"/>
      <c r="F150" s="21">
        <v>7</v>
      </c>
      <c r="G150" s="225"/>
      <c r="H150" s="22"/>
      <c r="I150" s="23" t="s">
        <v>10</v>
      </c>
      <c r="J150" s="21">
        <v>7</v>
      </c>
      <c r="K150" s="24"/>
      <c r="L150" s="115"/>
      <c r="M150" s="115"/>
      <c r="N150" s="115"/>
      <c r="O150" s="115"/>
    </row>
    <row r="151" spans="1:15" ht="40.5" customHeight="1" x14ac:dyDescent="0.2">
      <c r="A151" s="237">
        <v>45417</v>
      </c>
      <c r="B151" s="226" t="s">
        <v>12</v>
      </c>
      <c r="C151" s="25" t="s">
        <v>72</v>
      </c>
      <c r="D151" s="25" t="s">
        <v>7</v>
      </c>
      <c r="E151" s="26"/>
      <c r="F151" s="27">
        <v>7</v>
      </c>
      <c r="G151" s="229" t="s">
        <v>12</v>
      </c>
      <c r="H151" s="172" t="s">
        <v>74</v>
      </c>
      <c r="I151" s="28" t="s">
        <v>10</v>
      </c>
      <c r="J151" s="27">
        <v>7</v>
      </c>
      <c r="K151" s="29"/>
      <c r="L151" s="115"/>
      <c r="M151" s="115"/>
      <c r="N151" s="115"/>
      <c r="O151" s="115"/>
    </row>
    <row r="152" spans="1:15" ht="24.75" customHeight="1" x14ac:dyDescent="0.2">
      <c r="A152" s="238"/>
      <c r="B152" s="227"/>
      <c r="C152" s="30" t="s">
        <v>82</v>
      </c>
      <c r="D152" s="31" t="s">
        <v>7</v>
      </c>
      <c r="E152" s="32"/>
      <c r="F152" s="33">
        <v>7</v>
      </c>
      <c r="G152" s="230"/>
      <c r="H152" s="34" t="s">
        <v>73</v>
      </c>
      <c r="I152" s="35" t="s">
        <v>10</v>
      </c>
      <c r="J152" s="33">
        <v>7</v>
      </c>
      <c r="K152" s="36"/>
      <c r="L152" s="115"/>
      <c r="M152" s="115"/>
      <c r="N152" s="115"/>
      <c r="O152" s="115"/>
    </row>
    <row r="153" spans="1:15" ht="24.75" customHeight="1" x14ac:dyDescent="0.2">
      <c r="A153" s="238"/>
      <c r="B153" s="227"/>
      <c r="C153" s="30" t="s">
        <v>76</v>
      </c>
      <c r="D153" s="31" t="s">
        <v>7</v>
      </c>
      <c r="E153" s="32"/>
      <c r="F153" s="33">
        <v>7</v>
      </c>
      <c r="G153" s="230"/>
      <c r="H153" s="34" t="s">
        <v>101</v>
      </c>
      <c r="I153" s="35" t="s">
        <v>10</v>
      </c>
      <c r="J153" s="33">
        <v>7</v>
      </c>
      <c r="K153" s="36"/>
      <c r="L153" s="115"/>
      <c r="M153" s="115"/>
      <c r="N153" s="115"/>
      <c r="O153" s="115"/>
    </row>
    <row r="154" spans="1:15" ht="23.25" customHeight="1" thickBot="1" x14ac:dyDescent="0.25">
      <c r="A154" s="238"/>
      <c r="B154" s="228"/>
      <c r="C154" s="37"/>
      <c r="D154" s="38" t="s">
        <v>7</v>
      </c>
      <c r="E154" s="39"/>
      <c r="F154" s="40">
        <v>7</v>
      </c>
      <c r="G154" s="231"/>
      <c r="H154" s="41"/>
      <c r="I154" s="42" t="s">
        <v>10</v>
      </c>
      <c r="J154" s="40">
        <v>7</v>
      </c>
      <c r="K154" s="43"/>
      <c r="L154" s="115"/>
      <c r="M154" s="115"/>
      <c r="N154" s="115"/>
      <c r="O154" s="115"/>
    </row>
    <row r="155" spans="1:15" ht="66.75" customHeight="1" x14ac:dyDescent="0.2">
      <c r="A155" s="237">
        <v>45418</v>
      </c>
      <c r="B155" s="232" t="s">
        <v>13</v>
      </c>
      <c r="C155" s="44" t="s">
        <v>75</v>
      </c>
      <c r="D155" s="44" t="s">
        <v>7</v>
      </c>
      <c r="E155" s="45"/>
      <c r="F155" s="46">
        <v>7</v>
      </c>
      <c r="G155" s="185" t="s">
        <v>13</v>
      </c>
      <c r="H155" s="180" t="s">
        <v>79</v>
      </c>
      <c r="I155" s="47" t="s">
        <v>10</v>
      </c>
      <c r="J155" s="46">
        <v>7</v>
      </c>
      <c r="K155" s="48"/>
      <c r="L155" s="115"/>
      <c r="M155" s="115"/>
      <c r="N155" s="115"/>
      <c r="O155" s="115"/>
    </row>
    <row r="156" spans="1:15" ht="40.5" customHeight="1" x14ac:dyDescent="0.2">
      <c r="A156" s="238"/>
      <c r="B156" s="233"/>
      <c r="C156" s="49" t="s">
        <v>80</v>
      </c>
      <c r="D156" s="44" t="s">
        <v>7</v>
      </c>
      <c r="E156" s="45"/>
      <c r="F156" s="46">
        <v>7</v>
      </c>
      <c r="G156" s="235"/>
      <c r="H156" s="181" t="s">
        <v>102</v>
      </c>
      <c r="I156" s="51" t="s">
        <v>10</v>
      </c>
      <c r="J156" s="46">
        <v>7</v>
      </c>
      <c r="K156" s="52"/>
      <c r="L156" s="115"/>
      <c r="M156" s="115"/>
      <c r="N156" s="115"/>
      <c r="O156" s="115"/>
    </row>
    <row r="157" spans="1:15" ht="35.25" customHeight="1" x14ac:dyDescent="0.2">
      <c r="A157" s="238"/>
      <c r="B157" s="233"/>
      <c r="C157" s="49"/>
      <c r="D157" s="44" t="s">
        <v>7</v>
      </c>
      <c r="E157" s="45"/>
      <c r="F157" s="46">
        <v>7</v>
      </c>
      <c r="G157" s="235"/>
      <c r="H157" s="50"/>
      <c r="I157" s="51" t="s">
        <v>10</v>
      </c>
      <c r="J157" s="46">
        <v>7</v>
      </c>
      <c r="K157" s="52"/>
      <c r="L157" s="115"/>
      <c r="M157" s="115"/>
      <c r="N157" s="115"/>
      <c r="O157" s="115"/>
    </row>
    <row r="158" spans="1:15" ht="24" customHeight="1" thickBot="1" x14ac:dyDescent="0.25">
      <c r="A158" s="238"/>
      <c r="B158" s="234"/>
      <c r="C158" s="53"/>
      <c r="D158" s="54" t="s">
        <v>7</v>
      </c>
      <c r="E158" s="55"/>
      <c r="F158" s="56">
        <v>7</v>
      </c>
      <c r="G158" s="236"/>
      <c r="H158" s="57"/>
      <c r="I158" s="58" t="s">
        <v>10</v>
      </c>
      <c r="J158" s="56">
        <v>7</v>
      </c>
      <c r="K158" s="59"/>
      <c r="L158" s="115"/>
      <c r="M158" s="115"/>
      <c r="N158" s="115"/>
      <c r="O158" s="115"/>
    </row>
    <row r="159" spans="1:15" ht="102.75" customHeight="1" x14ac:dyDescent="0.2">
      <c r="A159" s="237">
        <v>45419</v>
      </c>
      <c r="B159" s="202" t="s">
        <v>14</v>
      </c>
      <c r="C159" s="60" t="s">
        <v>83</v>
      </c>
      <c r="D159" s="60" t="s">
        <v>7</v>
      </c>
      <c r="E159" s="61"/>
      <c r="F159" s="62">
        <v>7</v>
      </c>
      <c r="G159" s="205" t="s">
        <v>14</v>
      </c>
      <c r="H159" s="182" t="s">
        <v>103</v>
      </c>
      <c r="I159" s="44" t="s">
        <v>10</v>
      </c>
      <c r="J159" s="62">
        <v>7</v>
      </c>
      <c r="K159" s="45"/>
      <c r="L159" s="115"/>
      <c r="M159" s="115"/>
      <c r="N159" s="115"/>
      <c r="O159" s="115"/>
    </row>
    <row r="160" spans="1:15" ht="48" customHeight="1" x14ac:dyDescent="0.2">
      <c r="A160" s="238"/>
      <c r="B160" s="203"/>
      <c r="C160" s="63" t="s">
        <v>80</v>
      </c>
      <c r="D160" s="64" t="s">
        <v>7</v>
      </c>
      <c r="E160" s="65"/>
      <c r="F160" s="66">
        <v>7</v>
      </c>
      <c r="G160" s="206"/>
      <c r="H160" s="174" t="s">
        <v>94</v>
      </c>
      <c r="I160" s="44" t="s">
        <v>10</v>
      </c>
      <c r="J160" s="66">
        <v>7</v>
      </c>
      <c r="K160" s="67"/>
      <c r="L160" s="115"/>
      <c r="M160" s="115"/>
      <c r="N160" s="115"/>
      <c r="O160" s="115"/>
    </row>
    <row r="161" spans="1:15" ht="33" customHeight="1" x14ac:dyDescent="0.2">
      <c r="A161" s="238"/>
      <c r="B161" s="203"/>
      <c r="C161" s="63"/>
      <c r="D161" s="64" t="s">
        <v>7</v>
      </c>
      <c r="E161" s="65"/>
      <c r="F161" s="66">
        <v>7</v>
      </c>
      <c r="G161" s="206"/>
      <c r="H161" s="49"/>
      <c r="I161" s="44" t="s">
        <v>10</v>
      </c>
      <c r="J161" s="66">
        <v>7</v>
      </c>
      <c r="K161" s="67"/>
      <c r="L161" s="115"/>
      <c r="M161" s="115"/>
      <c r="N161" s="115"/>
      <c r="O161" s="115"/>
    </row>
    <row r="162" spans="1:15" ht="33" customHeight="1" thickBot="1" x14ac:dyDescent="0.25">
      <c r="A162" s="238"/>
      <c r="B162" s="204"/>
      <c r="C162" s="68"/>
      <c r="D162" s="69" t="s">
        <v>7</v>
      </c>
      <c r="E162" s="70"/>
      <c r="F162" s="71">
        <v>7</v>
      </c>
      <c r="G162" s="207"/>
      <c r="H162" s="53"/>
      <c r="I162" s="54" t="s">
        <v>10</v>
      </c>
      <c r="J162" s="71">
        <v>7</v>
      </c>
      <c r="K162" s="72"/>
      <c r="L162" s="115"/>
      <c r="M162" s="115"/>
      <c r="N162" s="115"/>
      <c r="O162" s="115"/>
    </row>
    <row r="163" spans="1:15" ht="53.25" customHeight="1" x14ac:dyDescent="0.2">
      <c r="A163" s="237">
        <v>45420</v>
      </c>
      <c r="B163" s="208" t="s">
        <v>15</v>
      </c>
      <c r="C163" s="16" t="s">
        <v>84</v>
      </c>
      <c r="D163" s="16" t="s">
        <v>7</v>
      </c>
      <c r="E163" s="73"/>
      <c r="F163" s="74">
        <v>7</v>
      </c>
      <c r="G163" s="211" t="s">
        <v>15</v>
      </c>
      <c r="H163" s="183" t="s">
        <v>85</v>
      </c>
      <c r="I163" s="75" t="s">
        <v>10</v>
      </c>
      <c r="J163" s="74">
        <v>7</v>
      </c>
      <c r="K163" s="76"/>
      <c r="L163" s="115"/>
      <c r="M163" s="115"/>
      <c r="N163" s="115"/>
      <c r="O163" s="115"/>
    </row>
    <row r="164" spans="1:15" ht="33.75" customHeight="1" x14ac:dyDescent="0.2">
      <c r="A164" s="238"/>
      <c r="B164" s="209"/>
      <c r="C164" s="15" t="s">
        <v>87</v>
      </c>
      <c r="D164" s="16" t="s">
        <v>7</v>
      </c>
      <c r="E164" s="73"/>
      <c r="F164" s="74">
        <v>7</v>
      </c>
      <c r="G164" s="212"/>
      <c r="H164" s="77" t="s">
        <v>105</v>
      </c>
      <c r="I164" s="78" t="s">
        <v>10</v>
      </c>
      <c r="J164" s="74">
        <v>7</v>
      </c>
      <c r="K164" s="79"/>
      <c r="L164" s="115"/>
      <c r="M164" s="115"/>
      <c r="N164" s="115"/>
      <c r="O164" s="115"/>
    </row>
    <row r="165" spans="1:15" ht="39.75" customHeight="1" x14ac:dyDescent="0.2">
      <c r="A165" s="238"/>
      <c r="B165" s="209"/>
      <c r="C165" s="15" t="s">
        <v>93</v>
      </c>
      <c r="D165" s="16" t="s">
        <v>7</v>
      </c>
      <c r="E165" s="73"/>
      <c r="F165" s="74">
        <v>7</v>
      </c>
      <c r="G165" s="212"/>
      <c r="H165" s="77"/>
      <c r="I165" s="78" t="s">
        <v>10</v>
      </c>
      <c r="J165" s="74">
        <v>7</v>
      </c>
      <c r="K165" s="79"/>
      <c r="L165" s="115"/>
      <c r="M165" s="115"/>
      <c r="N165" s="115"/>
      <c r="O165" s="115"/>
    </row>
    <row r="166" spans="1:15" ht="39" customHeight="1" thickBot="1" x14ac:dyDescent="0.25">
      <c r="A166" s="238"/>
      <c r="B166" s="210"/>
      <c r="C166" s="80"/>
      <c r="D166" s="81" t="s">
        <v>7</v>
      </c>
      <c r="E166" s="82"/>
      <c r="F166" s="83">
        <v>7</v>
      </c>
      <c r="G166" s="213"/>
      <c r="H166" s="84"/>
      <c r="I166" s="85" t="s">
        <v>10</v>
      </c>
      <c r="J166" s="83">
        <v>7</v>
      </c>
      <c r="K166" s="86"/>
      <c r="L166" s="115"/>
      <c r="M166" s="115"/>
      <c r="N166" s="115"/>
      <c r="O166" s="115"/>
    </row>
    <row r="167" spans="1:15" ht="28.5" customHeight="1" x14ac:dyDescent="0.2">
      <c r="A167" s="237">
        <v>45421</v>
      </c>
      <c r="B167" s="214" t="s">
        <v>16</v>
      </c>
      <c r="C167" s="87" t="s">
        <v>86</v>
      </c>
      <c r="D167" s="87" t="s">
        <v>7</v>
      </c>
      <c r="E167" s="88"/>
      <c r="F167" s="89">
        <v>7</v>
      </c>
      <c r="G167" s="217" t="s">
        <v>16</v>
      </c>
      <c r="H167" s="90" t="s">
        <v>88</v>
      </c>
      <c r="I167" s="90" t="s">
        <v>10</v>
      </c>
      <c r="J167" s="89">
        <v>0</v>
      </c>
      <c r="K167" s="91"/>
      <c r="L167" s="115"/>
      <c r="M167" s="115"/>
      <c r="N167" s="115"/>
      <c r="O167" s="115"/>
    </row>
    <row r="168" spans="1:15" ht="30.75" customHeight="1" x14ac:dyDescent="0.2">
      <c r="A168" s="238"/>
      <c r="B168" s="215"/>
      <c r="C168" s="92" t="s">
        <v>90</v>
      </c>
      <c r="D168" s="93" t="s">
        <v>7</v>
      </c>
      <c r="E168" s="94"/>
      <c r="F168" s="95">
        <v>7</v>
      </c>
      <c r="G168" s="218"/>
      <c r="H168" s="96" t="s">
        <v>89</v>
      </c>
      <c r="I168" s="97" t="s">
        <v>10</v>
      </c>
      <c r="J168" s="95">
        <v>7</v>
      </c>
      <c r="K168" s="98"/>
      <c r="L168" s="115"/>
      <c r="M168" s="115"/>
      <c r="N168" s="115"/>
      <c r="O168" s="115"/>
    </row>
    <row r="169" spans="1:15" ht="25.5" customHeight="1" x14ac:dyDescent="0.2">
      <c r="A169" s="238"/>
      <c r="B169" s="215"/>
      <c r="C169" s="92" t="s">
        <v>91</v>
      </c>
      <c r="D169" s="93" t="s">
        <v>7</v>
      </c>
      <c r="E169" s="94"/>
      <c r="F169" s="95">
        <v>7</v>
      </c>
      <c r="G169" s="218"/>
      <c r="H169" s="96" t="s">
        <v>92</v>
      </c>
      <c r="I169" s="97" t="s">
        <v>10</v>
      </c>
      <c r="J169" s="95">
        <v>7</v>
      </c>
      <c r="K169" s="98"/>
      <c r="L169" s="115"/>
      <c r="M169" s="115"/>
      <c r="N169" s="115"/>
      <c r="O169" s="115"/>
    </row>
    <row r="170" spans="1:15" ht="29.25" customHeight="1" thickBot="1" x14ac:dyDescent="0.25">
      <c r="A170" s="238"/>
      <c r="B170" s="216"/>
      <c r="C170" s="99" t="s">
        <v>81</v>
      </c>
      <c r="D170" s="100" t="s">
        <v>7</v>
      </c>
      <c r="E170" s="101"/>
      <c r="F170" s="102">
        <v>7</v>
      </c>
      <c r="G170" s="219"/>
      <c r="H170" s="103" t="s">
        <v>95</v>
      </c>
      <c r="I170" s="104" t="s">
        <v>10</v>
      </c>
      <c r="J170" s="102">
        <v>7</v>
      </c>
      <c r="K170" s="105"/>
      <c r="L170" s="115"/>
      <c r="M170" s="115"/>
      <c r="N170" s="115"/>
      <c r="O170" s="115"/>
    </row>
    <row r="171" spans="1:15" ht="23.25" x14ac:dyDescent="0.35">
      <c r="A171" s="118"/>
      <c r="B171" s="106"/>
      <c r="C171" s="107"/>
      <c r="D171" s="194" t="s">
        <v>20</v>
      </c>
      <c r="E171" s="195"/>
      <c r="F171" s="108">
        <f>SUM(F147:F170)</f>
        <v>168</v>
      </c>
      <c r="G171" s="107"/>
      <c r="H171" s="185" t="s">
        <v>20</v>
      </c>
      <c r="I171" s="186"/>
      <c r="J171" s="108">
        <f>SUM(J147:J170)</f>
        <v>161</v>
      </c>
      <c r="K171" s="109"/>
      <c r="L171" s="115"/>
      <c r="M171" s="115"/>
      <c r="N171" s="115"/>
      <c r="O171" s="115"/>
    </row>
    <row r="172" spans="1:15" ht="24" thickBot="1" x14ac:dyDescent="0.4">
      <c r="A172" s="119"/>
      <c r="B172" s="110"/>
      <c r="C172" s="111"/>
      <c r="D172" s="187" t="s">
        <v>21</v>
      </c>
      <c r="E172" s="188"/>
      <c r="F172" s="112">
        <f>F171/240*1</f>
        <v>0.7</v>
      </c>
      <c r="G172" s="111"/>
      <c r="H172" s="189" t="s">
        <v>22</v>
      </c>
      <c r="I172" s="190"/>
      <c r="J172" s="113">
        <f>J171/240*1</f>
        <v>0.67083333333333328</v>
      </c>
      <c r="K172" s="114"/>
      <c r="L172" s="115"/>
      <c r="M172" s="115"/>
      <c r="N172" s="115"/>
      <c r="O172" s="115"/>
    </row>
    <row r="173" spans="1:15" ht="24" thickBot="1" x14ac:dyDescent="0.4">
      <c r="A173" s="120">
        <v>7</v>
      </c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</row>
    <row r="174" spans="1:15" ht="21" thickBot="1" x14ac:dyDescent="0.35">
      <c r="A174" s="244" t="s">
        <v>25</v>
      </c>
      <c r="B174" s="191" t="s">
        <v>0</v>
      </c>
      <c r="C174" s="192"/>
      <c r="D174" s="192"/>
      <c r="E174" s="192"/>
      <c r="F174" s="192"/>
      <c r="G174" s="192"/>
      <c r="H174" s="192"/>
      <c r="I174" s="192"/>
      <c r="J174" s="192"/>
      <c r="K174" s="193"/>
      <c r="L174" s="115"/>
      <c r="M174" s="115"/>
      <c r="N174" s="115"/>
      <c r="O174" s="115"/>
    </row>
    <row r="175" spans="1:15" ht="21" thickBot="1" x14ac:dyDescent="0.35">
      <c r="A175" s="245"/>
      <c r="B175" s="196" t="s">
        <v>17</v>
      </c>
      <c r="C175" s="197"/>
      <c r="D175" s="197"/>
      <c r="E175" s="197"/>
      <c r="F175" s="198"/>
      <c r="G175" s="199" t="s">
        <v>1</v>
      </c>
      <c r="H175" s="200"/>
      <c r="I175" s="200"/>
      <c r="J175" s="200"/>
      <c r="K175" s="201"/>
      <c r="L175" s="115"/>
      <c r="M175" s="115"/>
      <c r="N175" s="115"/>
      <c r="O175" s="115"/>
    </row>
    <row r="176" spans="1:15" ht="41.25" thickBot="1" x14ac:dyDescent="0.25">
      <c r="A176" s="246"/>
      <c r="B176" s="2" t="s">
        <v>2</v>
      </c>
      <c r="C176" s="3" t="s">
        <v>6</v>
      </c>
      <c r="D176" s="3" t="s">
        <v>7</v>
      </c>
      <c r="E176" s="3" t="s">
        <v>8</v>
      </c>
      <c r="F176" s="4" t="s">
        <v>19</v>
      </c>
      <c r="G176" s="5" t="s">
        <v>2</v>
      </c>
      <c r="H176" s="6" t="s">
        <v>3</v>
      </c>
      <c r="I176" s="6" t="s">
        <v>4</v>
      </c>
      <c r="J176" s="7" t="s">
        <v>18</v>
      </c>
      <c r="K176" s="8" t="s">
        <v>5</v>
      </c>
      <c r="L176" s="115"/>
      <c r="M176" s="115"/>
      <c r="N176" s="115"/>
      <c r="O176" s="115"/>
    </row>
    <row r="177" spans="1:15" ht="18" x14ac:dyDescent="0.2">
      <c r="A177" s="237">
        <v>45423</v>
      </c>
      <c r="B177" s="220" t="s">
        <v>9</v>
      </c>
      <c r="C177" s="9"/>
      <c r="D177" s="9" t="s">
        <v>7</v>
      </c>
      <c r="E177" s="10"/>
      <c r="F177" s="11">
        <v>7</v>
      </c>
      <c r="G177" s="223" t="s">
        <v>9</v>
      </c>
      <c r="H177" s="12"/>
      <c r="I177" s="12" t="s">
        <v>10</v>
      </c>
      <c r="J177" s="11">
        <v>7</v>
      </c>
      <c r="K177" s="13"/>
      <c r="L177" s="115"/>
      <c r="M177" s="115"/>
      <c r="N177" s="115"/>
      <c r="O177" s="115"/>
    </row>
    <row r="178" spans="1:15" ht="18" x14ac:dyDescent="0.2">
      <c r="A178" s="238"/>
      <c r="B178" s="221"/>
      <c r="C178" s="14"/>
      <c r="D178" s="9" t="s">
        <v>7</v>
      </c>
      <c r="E178" s="10"/>
      <c r="F178" s="11">
        <v>7</v>
      </c>
      <c r="G178" s="224"/>
      <c r="H178" s="15"/>
      <c r="I178" s="16" t="s">
        <v>10</v>
      </c>
      <c r="J178" s="11">
        <v>7</v>
      </c>
      <c r="K178" s="17"/>
      <c r="L178" s="115"/>
      <c r="M178" s="115"/>
      <c r="N178" s="115"/>
      <c r="O178" s="115"/>
    </row>
    <row r="179" spans="1:15" ht="18" x14ac:dyDescent="0.2">
      <c r="A179" s="238"/>
      <c r="B179" s="221"/>
      <c r="C179" s="14"/>
      <c r="D179" s="9" t="s">
        <v>7</v>
      </c>
      <c r="E179" s="10"/>
      <c r="F179" s="11">
        <v>7</v>
      </c>
      <c r="G179" s="224"/>
      <c r="H179" s="15"/>
      <c r="I179" s="16" t="s">
        <v>10</v>
      </c>
      <c r="J179" s="11">
        <v>7</v>
      </c>
      <c r="K179" s="17"/>
      <c r="L179" s="115"/>
      <c r="M179" s="115"/>
      <c r="N179" s="115"/>
      <c r="O179" s="115"/>
    </row>
    <row r="180" spans="1:15" ht="18.75" thickBot="1" x14ac:dyDescent="0.25">
      <c r="A180" s="238"/>
      <c r="B180" s="222"/>
      <c r="C180" s="18"/>
      <c r="D180" s="19" t="s">
        <v>7</v>
      </c>
      <c r="E180" s="20"/>
      <c r="F180" s="21">
        <v>7</v>
      </c>
      <c r="G180" s="225"/>
      <c r="H180" s="22"/>
      <c r="I180" s="23" t="s">
        <v>10</v>
      </c>
      <c r="J180" s="21">
        <v>7</v>
      </c>
      <c r="K180" s="24"/>
      <c r="L180" s="115"/>
      <c r="M180" s="115"/>
      <c r="N180" s="115"/>
      <c r="O180" s="115"/>
    </row>
    <row r="181" spans="1:15" ht="18" customHeight="1" x14ac:dyDescent="0.2">
      <c r="A181" s="237">
        <v>45424</v>
      </c>
      <c r="B181" s="226" t="s">
        <v>12</v>
      </c>
      <c r="C181" s="25"/>
      <c r="D181" s="25" t="s">
        <v>7</v>
      </c>
      <c r="E181" s="26"/>
      <c r="F181" s="27">
        <v>7</v>
      </c>
      <c r="G181" s="229" t="s">
        <v>12</v>
      </c>
      <c r="H181" s="28"/>
      <c r="I181" s="28" t="s">
        <v>10</v>
      </c>
      <c r="J181" s="27">
        <v>7</v>
      </c>
      <c r="K181" s="29"/>
      <c r="L181" s="115"/>
      <c r="M181" s="115"/>
      <c r="N181" s="115"/>
      <c r="O181" s="115"/>
    </row>
    <row r="182" spans="1:15" ht="18" customHeight="1" x14ac:dyDescent="0.2">
      <c r="A182" s="238"/>
      <c r="B182" s="227"/>
      <c r="C182" s="30"/>
      <c r="D182" s="31" t="s">
        <v>7</v>
      </c>
      <c r="E182" s="32"/>
      <c r="F182" s="33">
        <v>7</v>
      </c>
      <c r="G182" s="230"/>
      <c r="H182" s="34"/>
      <c r="I182" s="35" t="s">
        <v>10</v>
      </c>
      <c r="J182" s="33">
        <v>7</v>
      </c>
      <c r="K182" s="36"/>
      <c r="L182" s="115"/>
      <c r="M182" s="115"/>
      <c r="N182" s="115"/>
      <c r="O182" s="115"/>
    </row>
    <row r="183" spans="1:15" ht="18" customHeight="1" x14ac:dyDescent="0.2">
      <c r="A183" s="238"/>
      <c r="B183" s="227"/>
      <c r="C183" s="30"/>
      <c r="D183" s="31" t="s">
        <v>7</v>
      </c>
      <c r="E183" s="32"/>
      <c r="F183" s="33">
        <v>7</v>
      </c>
      <c r="G183" s="230"/>
      <c r="H183" s="34"/>
      <c r="I183" s="35" t="s">
        <v>10</v>
      </c>
      <c r="J183" s="33">
        <v>7</v>
      </c>
      <c r="K183" s="36"/>
      <c r="L183" s="115"/>
      <c r="M183" s="115"/>
      <c r="N183" s="115"/>
      <c r="O183" s="115"/>
    </row>
    <row r="184" spans="1:15" ht="18.75" customHeight="1" thickBot="1" x14ac:dyDescent="0.25">
      <c r="A184" s="238"/>
      <c r="B184" s="228"/>
      <c r="C184" s="37"/>
      <c r="D184" s="38" t="s">
        <v>7</v>
      </c>
      <c r="E184" s="39"/>
      <c r="F184" s="40">
        <v>7</v>
      </c>
      <c r="G184" s="231"/>
      <c r="H184" s="41"/>
      <c r="I184" s="42" t="s">
        <v>10</v>
      </c>
      <c r="J184" s="40">
        <v>7</v>
      </c>
      <c r="K184" s="43"/>
      <c r="L184" s="115"/>
      <c r="M184" s="115"/>
      <c r="N184" s="115"/>
      <c r="O184" s="115"/>
    </row>
    <row r="185" spans="1:15" ht="18" customHeight="1" x14ac:dyDescent="0.2">
      <c r="A185" s="237">
        <v>45425</v>
      </c>
      <c r="B185" s="232" t="s">
        <v>13</v>
      </c>
      <c r="C185" s="44"/>
      <c r="D185" s="44" t="s">
        <v>7</v>
      </c>
      <c r="E185" s="45"/>
      <c r="F185" s="46">
        <v>7</v>
      </c>
      <c r="G185" s="185" t="s">
        <v>13</v>
      </c>
      <c r="H185" s="47"/>
      <c r="I185" s="47" t="s">
        <v>10</v>
      </c>
      <c r="J185" s="46">
        <v>7</v>
      </c>
      <c r="K185" s="48"/>
      <c r="L185" s="115"/>
      <c r="M185" s="115"/>
      <c r="N185" s="115"/>
      <c r="O185" s="115"/>
    </row>
    <row r="186" spans="1:15" ht="18" customHeight="1" x14ac:dyDescent="0.2">
      <c r="A186" s="238"/>
      <c r="B186" s="233"/>
      <c r="C186" s="49"/>
      <c r="D186" s="44" t="s">
        <v>7</v>
      </c>
      <c r="E186" s="45"/>
      <c r="F186" s="46">
        <v>7</v>
      </c>
      <c r="G186" s="235"/>
      <c r="H186" s="50"/>
      <c r="I186" s="51" t="s">
        <v>10</v>
      </c>
      <c r="J186" s="46">
        <v>7</v>
      </c>
      <c r="K186" s="52"/>
      <c r="L186" s="115"/>
      <c r="M186" s="115"/>
      <c r="N186" s="115"/>
      <c r="O186" s="115"/>
    </row>
    <row r="187" spans="1:15" ht="18" customHeight="1" x14ac:dyDescent="0.2">
      <c r="A187" s="238"/>
      <c r="B187" s="233"/>
      <c r="C187" s="49"/>
      <c r="D187" s="44" t="s">
        <v>7</v>
      </c>
      <c r="E187" s="45"/>
      <c r="F187" s="46">
        <v>7</v>
      </c>
      <c r="G187" s="235"/>
      <c r="H187" s="50"/>
      <c r="I187" s="51" t="s">
        <v>10</v>
      </c>
      <c r="J187" s="46">
        <v>7</v>
      </c>
      <c r="K187" s="52"/>
      <c r="L187" s="115"/>
      <c r="M187" s="115"/>
      <c r="N187" s="115"/>
      <c r="O187" s="115"/>
    </row>
    <row r="188" spans="1:15" ht="18.75" customHeight="1" thickBot="1" x14ac:dyDescent="0.25">
      <c r="A188" s="238"/>
      <c r="B188" s="234"/>
      <c r="C188" s="53"/>
      <c r="D188" s="54" t="s">
        <v>7</v>
      </c>
      <c r="E188" s="55"/>
      <c r="F188" s="56">
        <v>7</v>
      </c>
      <c r="G188" s="236"/>
      <c r="H188" s="57"/>
      <c r="I188" s="58" t="s">
        <v>10</v>
      </c>
      <c r="J188" s="56">
        <v>7</v>
      </c>
      <c r="K188" s="59"/>
      <c r="L188" s="115"/>
      <c r="M188" s="115"/>
      <c r="N188" s="115"/>
      <c r="O188" s="115"/>
    </row>
    <row r="189" spans="1:15" ht="18" customHeight="1" x14ac:dyDescent="0.2">
      <c r="A189" s="237">
        <v>45426</v>
      </c>
      <c r="B189" s="202" t="s">
        <v>14</v>
      </c>
      <c r="C189" s="60"/>
      <c r="D189" s="60" t="s">
        <v>7</v>
      </c>
      <c r="E189" s="61"/>
      <c r="F189" s="62">
        <v>7</v>
      </c>
      <c r="G189" s="205" t="s">
        <v>14</v>
      </c>
      <c r="H189" s="44"/>
      <c r="I189" s="44" t="s">
        <v>10</v>
      </c>
      <c r="J189" s="62">
        <v>7</v>
      </c>
      <c r="K189" s="45"/>
      <c r="L189" s="115"/>
      <c r="M189" s="115"/>
      <c r="N189" s="115"/>
      <c r="O189" s="115"/>
    </row>
    <row r="190" spans="1:15" ht="18" customHeight="1" x14ac:dyDescent="0.2">
      <c r="A190" s="238"/>
      <c r="B190" s="203"/>
      <c r="C190" s="63"/>
      <c r="D190" s="64" t="s">
        <v>7</v>
      </c>
      <c r="E190" s="65"/>
      <c r="F190" s="66">
        <v>7</v>
      </c>
      <c r="G190" s="206"/>
      <c r="H190" s="49"/>
      <c r="I190" s="44" t="s">
        <v>10</v>
      </c>
      <c r="J190" s="66">
        <v>7</v>
      </c>
      <c r="K190" s="67"/>
      <c r="L190" s="115"/>
      <c r="M190" s="115"/>
      <c r="N190" s="115"/>
      <c r="O190" s="115"/>
    </row>
    <row r="191" spans="1:15" ht="18" customHeight="1" x14ac:dyDescent="0.2">
      <c r="A191" s="238"/>
      <c r="B191" s="203"/>
      <c r="C191" s="63"/>
      <c r="D191" s="64" t="s">
        <v>7</v>
      </c>
      <c r="E191" s="65"/>
      <c r="F191" s="66">
        <v>7</v>
      </c>
      <c r="G191" s="206"/>
      <c r="H191" s="49"/>
      <c r="I191" s="44" t="s">
        <v>10</v>
      </c>
      <c r="J191" s="66">
        <v>7</v>
      </c>
      <c r="K191" s="67"/>
      <c r="L191" s="115"/>
      <c r="M191" s="115"/>
      <c r="N191" s="115"/>
      <c r="O191" s="115"/>
    </row>
    <row r="192" spans="1:15" ht="18.75" customHeight="1" thickBot="1" x14ac:dyDescent="0.25">
      <c r="A192" s="238"/>
      <c r="B192" s="204"/>
      <c r="C192" s="68"/>
      <c r="D192" s="69" t="s">
        <v>7</v>
      </c>
      <c r="E192" s="70"/>
      <c r="F192" s="71">
        <v>7</v>
      </c>
      <c r="G192" s="207"/>
      <c r="H192" s="53"/>
      <c r="I192" s="54" t="s">
        <v>10</v>
      </c>
      <c r="J192" s="71">
        <v>7</v>
      </c>
      <c r="K192" s="72"/>
      <c r="L192" s="115"/>
      <c r="M192" s="115"/>
      <c r="N192" s="115"/>
      <c r="O192" s="115"/>
    </row>
    <row r="193" spans="1:15" ht="18" customHeight="1" x14ac:dyDescent="0.2">
      <c r="A193" s="237">
        <v>45427</v>
      </c>
      <c r="B193" s="208" t="s">
        <v>15</v>
      </c>
      <c r="C193" s="16"/>
      <c r="D193" s="16" t="s">
        <v>7</v>
      </c>
      <c r="E193" s="73"/>
      <c r="F193" s="74">
        <v>7</v>
      </c>
      <c r="G193" s="211" t="s">
        <v>15</v>
      </c>
      <c r="H193" s="75"/>
      <c r="I193" s="75" t="s">
        <v>10</v>
      </c>
      <c r="J193" s="74">
        <v>7</v>
      </c>
      <c r="K193" s="76"/>
      <c r="L193" s="115"/>
      <c r="M193" s="115"/>
      <c r="N193" s="115"/>
      <c r="O193" s="115"/>
    </row>
    <row r="194" spans="1:15" ht="18" customHeight="1" x14ac:dyDescent="0.2">
      <c r="A194" s="238"/>
      <c r="B194" s="209"/>
      <c r="C194" s="15"/>
      <c r="D194" s="16" t="s">
        <v>7</v>
      </c>
      <c r="E194" s="73"/>
      <c r="F194" s="74">
        <v>7</v>
      </c>
      <c r="G194" s="212"/>
      <c r="H194" s="77"/>
      <c r="I194" s="78" t="s">
        <v>10</v>
      </c>
      <c r="J194" s="74">
        <v>7</v>
      </c>
      <c r="K194" s="79"/>
      <c r="L194" s="115"/>
      <c r="M194" s="115"/>
      <c r="N194" s="115"/>
      <c r="O194" s="115"/>
    </row>
    <row r="195" spans="1:15" ht="18" customHeight="1" x14ac:dyDescent="0.2">
      <c r="A195" s="238"/>
      <c r="B195" s="209"/>
      <c r="C195" s="15"/>
      <c r="D195" s="16" t="s">
        <v>7</v>
      </c>
      <c r="E195" s="73"/>
      <c r="F195" s="74">
        <v>7</v>
      </c>
      <c r="G195" s="212"/>
      <c r="H195" s="77"/>
      <c r="I195" s="78" t="s">
        <v>10</v>
      </c>
      <c r="J195" s="74">
        <v>7</v>
      </c>
      <c r="K195" s="79"/>
      <c r="L195" s="115"/>
      <c r="M195" s="115"/>
      <c r="N195" s="115"/>
      <c r="O195" s="115"/>
    </row>
    <row r="196" spans="1:15" ht="18.75" customHeight="1" thickBot="1" x14ac:dyDescent="0.25">
      <c r="A196" s="238"/>
      <c r="B196" s="210"/>
      <c r="C196" s="80"/>
      <c r="D196" s="81" t="s">
        <v>7</v>
      </c>
      <c r="E196" s="82"/>
      <c r="F196" s="83">
        <v>7</v>
      </c>
      <c r="G196" s="213"/>
      <c r="H196" s="84"/>
      <c r="I196" s="85" t="s">
        <v>10</v>
      </c>
      <c r="J196" s="83">
        <v>7</v>
      </c>
      <c r="K196" s="86"/>
      <c r="L196" s="115"/>
      <c r="M196" s="115"/>
      <c r="N196" s="115"/>
      <c r="O196" s="115"/>
    </row>
    <row r="197" spans="1:15" ht="18" customHeight="1" x14ac:dyDescent="0.2">
      <c r="A197" s="237">
        <v>45428</v>
      </c>
      <c r="B197" s="214" t="s">
        <v>16</v>
      </c>
      <c r="C197" s="87"/>
      <c r="D197" s="87" t="s">
        <v>7</v>
      </c>
      <c r="E197" s="88"/>
      <c r="F197" s="89">
        <v>7</v>
      </c>
      <c r="G197" s="217" t="s">
        <v>16</v>
      </c>
      <c r="H197" s="90"/>
      <c r="I197" s="90" t="s">
        <v>10</v>
      </c>
      <c r="J197" s="89">
        <v>0</v>
      </c>
      <c r="K197" s="91"/>
      <c r="L197" s="115"/>
      <c r="M197" s="115"/>
      <c r="N197" s="115"/>
      <c r="O197" s="115"/>
    </row>
    <row r="198" spans="1:15" ht="18" customHeight="1" x14ac:dyDescent="0.2">
      <c r="A198" s="238"/>
      <c r="B198" s="215"/>
      <c r="C198" s="92"/>
      <c r="D198" s="93" t="s">
        <v>7</v>
      </c>
      <c r="E198" s="94"/>
      <c r="F198" s="95">
        <v>7</v>
      </c>
      <c r="G198" s="218"/>
      <c r="H198" s="96"/>
      <c r="I198" s="97" t="s">
        <v>10</v>
      </c>
      <c r="J198" s="95">
        <v>7</v>
      </c>
      <c r="K198" s="98"/>
      <c r="L198" s="115"/>
      <c r="M198" s="115"/>
      <c r="N198" s="115"/>
      <c r="O198" s="115"/>
    </row>
    <row r="199" spans="1:15" ht="18" customHeight="1" x14ac:dyDescent="0.2">
      <c r="A199" s="238"/>
      <c r="B199" s="215"/>
      <c r="C199" s="92"/>
      <c r="D199" s="93" t="s">
        <v>7</v>
      </c>
      <c r="E199" s="94"/>
      <c r="F199" s="95">
        <v>7</v>
      </c>
      <c r="G199" s="218"/>
      <c r="H199" s="96"/>
      <c r="I199" s="97" t="s">
        <v>10</v>
      </c>
      <c r="J199" s="95">
        <v>7</v>
      </c>
      <c r="K199" s="98"/>
      <c r="L199" s="115"/>
      <c r="M199" s="115"/>
      <c r="N199" s="115"/>
      <c r="O199" s="115"/>
    </row>
    <row r="200" spans="1:15" ht="18.75" customHeight="1" thickBot="1" x14ac:dyDescent="0.25">
      <c r="A200" s="238"/>
      <c r="B200" s="216"/>
      <c r="C200" s="99"/>
      <c r="D200" s="100" t="s">
        <v>7</v>
      </c>
      <c r="E200" s="101"/>
      <c r="F200" s="102">
        <v>7</v>
      </c>
      <c r="G200" s="219"/>
      <c r="H200" s="103"/>
      <c r="I200" s="104" t="s">
        <v>10</v>
      </c>
      <c r="J200" s="102">
        <v>7</v>
      </c>
      <c r="K200" s="105"/>
      <c r="L200" s="115"/>
      <c r="M200" s="115"/>
      <c r="N200" s="115"/>
      <c r="O200" s="115"/>
    </row>
    <row r="201" spans="1:15" ht="23.25" x14ac:dyDescent="0.35">
      <c r="A201" s="118"/>
      <c r="B201" s="106"/>
      <c r="C201" s="107"/>
      <c r="D201" s="194" t="s">
        <v>20</v>
      </c>
      <c r="E201" s="195"/>
      <c r="F201" s="108">
        <f>SUM(F177:F200)</f>
        <v>168</v>
      </c>
      <c r="G201" s="107"/>
      <c r="H201" s="185" t="s">
        <v>20</v>
      </c>
      <c r="I201" s="186"/>
      <c r="J201" s="108">
        <f>SUM(J177:J200)</f>
        <v>161</v>
      </c>
      <c r="K201" s="109"/>
      <c r="L201" s="115"/>
      <c r="M201" s="115"/>
      <c r="N201" s="115"/>
      <c r="O201" s="115"/>
    </row>
    <row r="202" spans="1:15" ht="24" thickBot="1" x14ac:dyDescent="0.4">
      <c r="A202" s="119"/>
      <c r="B202" s="110"/>
      <c r="C202" s="111"/>
      <c r="D202" s="187" t="s">
        <v>21</v>
      </c>
      <c r="E202" s="188"/>
      <c r="F202" s="112">
        <f>F201/240*1</f>
        <v>0.7</v>
      </c>
      <c r="G202" s="111"/>
      <c r="H202" s="189" t="s">
        <v>22</v>
      </c>
      <c r="I202" s="190"/>
      <c r="J202" s="113">
        <f>J201/240*1</f>
        <v>0.67083333333333328</v>
      </c>
      <c r="K202" s="114"/>
      <c r="L202" s="115"/>
      <c r="M202" s="115"/>
      <c r="N202" s="115"/>
      <c r="O202" s="115"/>
    </row>
    <row r="203" spans="1:15" ht="24" thickBot="1" x14ac:dyDescent="0.4">
      <c r="A203" s="120">
        <v>8</v>
      </c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</row>
    <row r="204" spans="1:15" ht="21" thickBot="1" x14ac:dyDescent="0.35">
      <c r="A204" s="244" t="s">
        <v>25</v>
      </c>
      <c r="B204" s="191" t="s">
        <v>0</v>
      </c>
      <c r="C204" s="192"/>
      <c r="D204" s="192"/>
      <c r="E204" s="192"/>
      <c r="F204" s="192"/>
      <c r="G204" s="192"/>
      <c r="H204" s="192"/>
      <c r="I204" s="192"/>
      <c r="J204" s="192"/>
      <c r="K204" s="193"/>
      <c r="L204" s="115"/>
      <c r="M204" s="115"/>
      <c r="N204" s="115"/>
      <c r="O204" s="115"/>
    </row>
    <row r="205" spans="1:15" ht="21" thickBot="1" x14ac:dyDescent="0.35">
      <c r="A205" s="245"/>
      <c r="B205" s="196" t="s">
        <v>17</v>
      </c>
      <c r="C205" s="197"/>
      <c r="D205" s="197"/>
      <c r="E205" s="197"/>
      <c r="F205" s="198"/>
      <c r="G205" s="199" t="s">
        <v>1</v>
      </c>
      <c r="H205" s="200"/>
      <c r="I205" s="200"/>
      <c r="J205" s="200"/>
      <c r="K205" s="201"/>
      <c r="L205" s="115"/>
      <c r="M205" s="115"/>
      <c r="N205" s="115"/>
      <c r="O205" s="115"/>
    </row>
    <row r="206" spans="1:15" ht="41.25" thickBot="1" x14ac:dyDescent="0.25">
      <c r="A206" s="246"/>
      <c r="B206" s="2" t="s">
        <v>2</v>
      </c>
      <c r="C206" s="3" t="s">
        <v>6</v>
      </c>
      <c r="D206" s="3" t="s">
        <v>7</v>
      </c>
      <c r="E206" s="3" t="s">
        <v>8</v>
      </c>
      <c r="F206" s="4" t="s">
        <v>19</v>
      </c>
      <c r="G206" s="5" t="s">
        <v>2</v>
      </c>
      <c r="H206" s="6" t="s">
        <v>3</v>
      </c>
      <c r="I206" s="6" t="s">
        <v>4</v>
      </c>
      <c r="J206" s="7" t="s">
        <v>18</v>
      </c>
      <c r="K206" s="8" t="s">
        <v>5</v>
      </c>
      <c r="L206" s="115"/>
      <c r="M206" s="115"/>
      <c r="N206" s="115"/>
      <c r="O206" s="115"/>
    </row>
    <row r="207" spans="1:15" ht="18" x14ac:dyDescent="0.2">
      <c r="A207" s="237">
        <v>45430</v>
      </c>
      <c r="B207" s="220" t="s">
        <v>9</v>
      </c>
      <c r="C207" s="9"/>
      <c r="D207" s="9" t="s">
        <v>7</v>
      </c>
      <c r="E207" s="10"/>
      <c r="F207" s="11">
        <v>7</v>
      </c>
      <c r="G207" s="223" t="s">
        <v>9</v>
      </c>
      <c r="H207" s="12"/>
      <c r="I207" s="12" t="s">
        <v>10</v>
      </c>
      <c r="J207" s="11">
        <v>7</v>
      </c>
      <c r="K207" s="13"/>
      <c r="L207" s="115"/>
      <c r="M207" s="115"/>
      <c r="N207" s="115"/>
      <c r="O207" s="115"/>
    </row>
    <row r="208" spans="1:15" ht="18" x14ac:dyDescent="0.2">
      <c r="A208" s="238"/>
      <c r="B208" s="221"/>
      <c r="C208" s="14"/>
      <c r="D208" s="9" t="s">
        <v>7</v>
      </c>
      <c r="E208" s="10"/>
      <c r="F208" s="11">
        <v>7</v>
      </c>
      <c r="G208" s="224"/>
      <c r="H208" s="15"/>
      <c r="I208" s="16" t="s">
        <v>10</v>
      </c>
      <c r="J208" s="11">
        <v>7</v>
      </c>
      <c r="K208" s="17"/>
      <c r="L208" s="115"/>
      <c r="M208" s="115"/>
      <c r="N208" s="115"/>
      <c r="O208" s="115"/>
    </row>
    <row r="209" spans="1:15" ht="18" x14ac:dyDescent="0.2">
      <c r="A209" s="238"/>
      <c r="B209" s="221"/>
      <c r="C209" s="14"/>
      <c r="D209" s="9" t="s">
        <v>7</v>
      </c>
      <c r="E209" s="10"/>
      <c r="F209" s="11">
        <v>7</v>
      </c>
      <c r="G209" s="224"/>
      <c r="H209" s="15"/>
      <c r="I209" s="16" t="s">
        <v>10</v>
      </c>
      <c r="J209" s="11">
        <v>7</v>
      </c>
      <c r="K209" s="17"/>
      <c r="L209" s="115"/>
      <c r="M209" s="115"/>
      <c r="N209" s="115"/>
      <c r="O209" s="115"/>
    </row>
    <row r="210" spans="1:15" ht="18.75" thickBot="1" x14ac:dyDescent="0.25">
      <c r="A210" s="238"/>
      <c r="B210" s="222"/>
      <c r="C210" s="18"/>
      <c r="D210" s="19" t="s">
        <v>7</v>
      </c>
      <c r="E210" s="20"/>
      <c r="F210" s="21">
        <v>7</v>
      </c>
      <c r="G210" s="225"/>
      <c r="H210" s="22"/>
      <c r="I210" s="23" t="s">
        <v>10</v>
      </c>
      <c r="J210" s="21">
        <v>7</v>
      </c>
      <c r="K210" s="24"/>
      <c r="L210" s="115"/>
      <c r="M210" s="115"/>
      <c r="N210" s="115"/>
      <c r="O210" s="115"/>
    </row>
    <row r="211" spans="1:15" ht="18" customHeight="1" x14ac:dyDescent="0.2">
      <c r="A211" s="237">
        <v>45431</v>
      </c>
      <c r="B211" s="226" t="s">
        <v>12</v>
      </c>
      <c r="C211" s="25"/>
      <c r="D211" s="25" t="s">
        <v>7</v>
      </c>
      <c r="E211" s="26"/>
      <c r="F211" s="27">
        <v>7</v>
      </c>
      <c r="G211" s="229" t="s">
        <v>12</v>
      </c>
      <c r="H211" s="28"/>
      <c r="I211" s="28" t="s">
        <v>10</v>
      </c>
      <c r="J211" s="27">
        <v>7</v>
      </c>
      <c r="K211" s="29"/>
      <c r="L211" s="115"/>
      <c r="M211" s="115"/>
      <c r="N211" s="115"/>
      <c r="O211" s="115"/>
    </row>
    <row r="212" spans="1:15" ht="18" customHeight="1" x14ac:dyDescent="0.2">
      <c r="A212" s="238"/>
      <c r="B212" s="227"/>
      <c r="C212" s="30"/>
      <c r="D212" s="31" t="s">
        <v>7</v>
      </c>
      <c r="E212" s="32"/>
      <c r="F212" s="33">
        <v>7</v>
      </c>
      <c r="G212" s="230"/>
      <c r="H212" s="34"/>
      <c r="I212" s="35" t="s">
        <v>10</v>
      </c>
      <c r="J212" s="33">
        <v>7</v>
      </c>
      <c r="K212" s="36"/>
      <c r="L212" s="115"/>
      <c r="M212" s="115"/>
      <c r="N212" s="115"/>
      <c r="O212" s="115"/>
    </row>
    <row r="213" spans="1:15" ht="18" customHeight="1" x14ac:dyDescent="0.2">
      <c r="A213" s="238"/>
      <c r="B213" s="227"/>
      <c r="C213" s="30"/>
      <c r="D213" s="31" t="s">
        <v>7</v>
      </c>
      <c r="E213" s="32"/>
      <c r="F213" s="33">
        <v>7</v>
      </c>
      <c r="G213" s="230"/>
      <c r="H213" s="34"/>
      <c r="I213" s="35" t="s">
        <v>10</v>
      </c>
      <c r="J213" s="33">
        <v>7</v>
      </c>
      <c r="K213" s="36"/>
      <c r="L213" s="115"/>
      <c r="M213" s="115"/>
      <c r="N213" s="115"/>
      <c r="O213" s="115"/>
    </row>
    <row r="214" spans="1:15" ht="18.75" customHeight="1" thickBot="1" x14ac:dyDescent="0.25">
      <c r="A214" s="238"/>
      <c r="B214" s="228"/>
      <c r="C214" s="37"/>
      <c r="D214" s="38" t="s">
        <v>7</v>
      </c>
      <c r="E214" s="39"/>
      <c r="F214" s="40">
        <v>7</v>
      </c>
      <c r="G214" s="231"/>
      <c r="H214" s="41"/>
      <c r="I214" s="42" t="s">
        <v>10</v>
      </c>
      <c r="J214" s="40">
        <v>7</v>
      </c>
      <c r="K214" s="43"/>
      <c r="L214" s="115"/>
      <c r="M214" s="115"/>
      <c r="N214" s="115"/>
      <c r="O214" s="115"/>
    </row>
    <row r="215" spans="1:15" ht="18" customHeight="1" x14ac:dyDescent="0.2">
      <c r="A215" s="237">
        <v>45432</v>
      </c>
      <c r="B215" s="232" t="s">
        <v>13</v>
      </c>
      <c r="C215" s="44"/>
      <c r="D215" s="44" t="s">
        <v>7</v>
      </c>
      <c r="E215" s="45"/>
      <c r="F215" s="46">
        <v>7</v>
      </c>
      <c r="G215" s="185" t="s">
        <v>13</v>
      </c>
      <c r="H215" s="47"/>
      <c r="I215" s="47" t="s">
        <v>10</v>
      </c>
      <c r="J215" s="46">
        <v>7</v>
      </c>
      <c r="K215" s="48"/>
      <c r="L215" s="115"/>
      <c r="M215" s="115"/>
      <c r="N215" s="115"/>
      <c r="O215" s="115"/>
    </row>
    <row r="216" spans="1:15" ht="18" customHeight="1" x14ac:dyDescent="0.2">
      <c r="A216" s="238"/>
      <c r="B216" s="233"/>
      <c r="C216" s="49"/>
      <c r="D216" s="44" t="s">
        <v>7</v>
      </c>
      <c r="E216" s="45"/>
      <c r="F216" s="46">
        <v>7</v>
      </c>
      <c r="G216" s="235"/>
      <c r="H216" s="50"/>
      <c r="I216" s="51" t="s">
        <v>10</v>
      </c>
      <c r="J216" s="46">
        <v>7</v>
      </c>
      <c r="K216" s="52"/>
      <c r="L216" s="115"/>
      <c r="M216" s="115"/>
      <c r="N216" s="115"/>
      <c r="O216" s="115"/>
    </row>
    <row r="217" spans="1:15" ht="18" customHeight="1" x14ac:dyDescent="0.2">
      <c r="A217" s="238"/>
      <c r="B217" s="233"/>
      <c r="C217" s="49"/>
      <c r="D217" s="44" t="s">
        <v>7</v>
      </c>
      <c r="E217" s="45"/>
      <c r="F217" s="46">
        <v>7</v>
      </c>
      <c r="G217" s="235"/>
      <c r="H217" s="50"/>
      <c r="I217" s="51" t="s">
        <v>10</v>
      </c>
      <c r="J217" s="46">
        <v>7</v>
      </c>
      <c r="K217" s="52"/>
      <c r="L217" s="115"/>
      <c r="M217" s="115"/>
      <c r="N217" s="115"/>
      <c r="O217" s="115"/>
    </row>
    <row r="218" spans="1:15" ht="18.75" customHeight="1" thickBot="1" x14ac:dyDescent="0.25">
      <c r="A218" s="238"/>
      <c r="B218" s="234"/>
      <c r="C218" s="53"/>
      <c r="D218" s="54" t="s">
        <v>7</v>
      </c>
      <c r="E218" s="55"/>
      <c r="F218" s="56">
        <v>7</v>
      </c>
      <c r="G218" s="236"/>
      <c r="H218" s="57"/>
      <c r="I218" s="58" t="s">
        <v>10</v>
      </c>
      <c r="J218" s="56">
        <v>7</v>
      </c>
      <c r="K218" s="59"/>
      <c r="L218" s="115"/>
      <c r="M218" s="115"/>
      <c r="N218" s="115"/>
      <c r="O218" s="115"/>
    </row>
    <row r="219" spans="1:15" ht="18" customHeight="1" x14ac:dyDescent="0.2">
      <c r="A219" s="237">
        <v>45433</v>
      </c>
      <c r="B219" s="202" t="s">
        <v>14</v>
      </c>
      <c r="C219" s="60"/>
      <c r="D219" s="60" t="s">
        <v>7</v>
      </c>
      <c r="E219" s="61"/>
      <c r="F219" s="62">
        <v>7</v>
      </c>
      <c r="G219" s="205" t="s">
        <v>14</v>
      </c>
      <c r="H219" s="44"/>
      <c r="I219" s="44" t="s">
        <v>10</v>
      </c>
      <c r="J219" s="62">
        <v>7</v>
      </c>
      <c r="K219" s="45"/>
      <c r="L219" s="115"/>
      <c r="M219" s="115"/>
      <c r="N219" s="115"/>
      <c r="O219" s="115"/>
    </row>
    <row r="220" spans="1:15" ht="18" customHeight="1" x14ac:dyDescent="0.2">
      <c r="A220" s="238"/>
      <c r="B220" s="203"/>
      <c r="C220" s="63"/>
      <c r="D220" s="64" t="s">
        <v>7</v>
      </c>
      <c r="E220" s="65"/>
      <c r="F220" s="66">
        <v>7</v>
      </c>
      <c r="G220" s="206"/>
      <c r="H220" s="49"/>
      <c r="I220" s="44" t="s">
        <v>10</v>
      </c>
      <c r="J220" s="66">
        <v>7</v>
      </c>
      <c r="K220" s="67"/>
      <c r="L220" s="115"/>
      <c r="M220" s="115"/>
      <c r="N220" s="115"/>
      <c r="O220" s="115"/>
    </row>
    <row r="221" spans="1:15" ht="18" customHeight="1" x14ac:dyDescent="0.2">
      <c r="A221" s="238"/>
      <c r="B221" s="203"/>
      <c r="C221" s="63"/>
      <c r="D221" s="64" t="s">
        <v>7</v>
      </c>
      <c r="E221" s="65"/>
      <c r="F221" s="66">
        <v>7</v>
      </c>
      <c r="G221" s="206"/>
      <c r="H221" s="49"/>
      <c r="I221" s="44" t="s">
        <v>10</v>
      </c>
      <c r="J221" s="66">
        <v>7</v>
      </c>
      <c r="K221" s="67"/>
      <c r="L221" s="115"/>
      <c r="M221" s="115"/>
      <c r="N221" s="115"/>
      <c r="O221" s="115"/>
    </row>
    <row r="222" spans="1:15" ht="18.75" customHeight="1" thickBot="1" x14ac:dyDescent="0.25">
      <c r="A222" s="238"/>
      <c r="B222" s="204"/>
      <c r="C222" s="68"/>
      <c r="D222" s="69" t="s">
        <v>7</v>
      </c>
      <c r="E222" s="70"/>
      <c r="F222" s="71">
        <v>7</v>
      </c>
      <c r="G222" s="207"/>
      <c r="H222" s="53"/>
      <c r="I222" s="54" t="s">
        <v>10</v>
      </c>
      <c r="J222" s="71">
        <v>7</v>
      </c>
      <c r="K222" s="72"/>
      <c r="L222" s="115"/>
      <c r="M222" s="115"/>
      <c r="N222" s="115"/>
      <c r="O222" s="115"/>
    </row>
    <row r="223" spans="1:15" ht="18" customHeight="1" x14ac:dyDescent="0.2">
      <c r="A223" s="237">
        <v>45434</v>
      </c>
      <c r="B223" s="208" t="s">
        <v>15</v>
      </c>
      <c r="C223" s="16"/>
      <c r="D223" s="16" t="s">
        <v>7</v>
      </c>
      <c r="E223" s="73"/>
      <c r="F223" s="74">
        <v>7</v>
      </c>
      <c r="G223" s="211" t="s">
        <v>15</v>
      </c>
      <c r="H223" s="75"/>
      <c r="I223" s="75" t="s">
        <v>10</v>
      </c>
      <c r="J223" s="74">
        <v>7</v>
      </c>
      <c r="K223" s="76"/>
      <c r="L223" s="115"/>
      <c r="M223" s="115"/>
      <c r="N223" s="115"/>
      <c r="O223" s="115"/>
    </row>
    <row r="224" spans="1:15" ht="18" customHeight="1" x14ac:dyDescent="0.2">
      <c r="A224" s="238"/>
      <c r="B224" s="209"/>
      <c r="C224" s="15"/>
      <c r="D224" s="16" t="s">
        <v>7</v>
      </c>
      <c r="E224" s="73"/>
      <c r="F224" s="74">
        <v>7</v>
      </c>
      <c r="G224" s="212"/>
      <c r="H224" s="77"/>
      <c r="I224" s="78" t="s">
        <v>10</v>
      </c>
      <c r="J224" s="74">
        <v>7</v>
      </c>
      <c r="K224" s="79"/>
      <c r="L224" s="115"/>
      <c r="M224" s="115"/>
      <c r="N224" s="115"/>
      <c r="O224" s="115"/>
    </row>
    <row r="225" spans="1:15" ht="18" customHeight="1" x14ac:dyDescent="0.2">
      <c r="A225" s="238"/>
      <c r="B225" s="209"/>
      <c r="C225" s="15"/>
      <c r="D225" s="16" t="s">
        <v>7</v>
      </c>
      <c r="E225" s="73"/>
      <c r="F225" s="74">
        <v>7</v>
      </c>
      <c r="G225" s="212"/>
      <c r="H225" s="77"/>
      <c r="I225" s="78" t="s">
        <v>10</v>
      </c>
      <c r="J225" s="74">
        <v>7</v>
      </c>
      <c r="K225" s="79"/>
      <c r="L225" s="115"/>
      <c r="M225" s="115"/>
      <c r="N225" s="115"/>
      <c r="O225" s="115"/>
    </row>
    <row r="226" spans="1:15" ht="18.75" customHeight="1" thickBot="1" x14ac:dyDescent="0.25">
      <c r="A226" s="238"/>
      <c r="B226" s="210"/>
      <c r="C226" s="80"/>
      <c r="D226" s="81" t="s">
        <v>7</v>
      </c>
      <c r="E226" s="82"/>
      <c r="F226" s="83">
        <v>7</v>
      </c>
      <c r="G226" s="213"/>
      <c r="H226" s="84"/>
      <c r="I226" s="85" t="s">
        <v>10</v>
      </c>
      <c r="J226" s="83">
        <v>7</v>
      </c>
      <c r="K226" s="86"/>
      <c r="L226" s="115"/>
      <c r="M226" s="115"/>
      <c r="N226" s="115"/>
      <c r="O226" s="115"/>
    </row>
    <row r="227" spans="1:15" ht="18" customHeight="1" x14ac:dyDescent="0.2">
      <c r="A227" s="237">
        <v>45435</v>
      </c>
      <c r="B227" s="214" t="s">
        <v>16</v>
      </c>
      <c r="C227" s="87"/>
      <c r="D227" s="87" t="s">
        <v>7</v>
      </c>
      <c r="E227" s="88"/>
      <c r="F227" s="89">
        <v>7</v>
      </c>
      <c r="G227" s="217" t="s">
        <v>16</v>
      </c>
      <c r="H227" s="90"/>
      <c r="I227" s="90" t="s">
        <v>10</v>
      </c>
      <c r="J227" s="89">
        <v>0</v>
      </c>
      <c r="K227" s="91"/>
      <c r="L227" s="115"/>
      <c r="M227" s="115"/>
      <c r="N227" s="115"/>
      <c r="O227" s="115"/>
    </row>
    <row r="228" spans="1:15" ht="18" customHeight="1" x14ac:dyDescent="0.2">
      <c r="A228" s="238"/>
      <c r="B228" s="215"/>
      <c r="C228" s="92"/>
      <c r="D228" s="93" t="s">
        <v>7</v>
      </c>
      <c r="E228" s="94"/>
      <c r="F228" s="95">
        <v>7</v>
      </c>
      <c r="G228" s="218"/>
      <c r="H228" s="96"/>
      <c r="I228" s="97" t="s">
        <v>10</v>
      </c>
      <c r="J228" s="95">
        <v>7</v>
      </c>
      <c r="K228" s="98"/>
      <c r="L228" s="115"/>
      <c r="M228" s="115"/>
      <c r="N228" s="115"/>
      <c r="O228" s="115"/>
    </row>
    <row r="229" spans="1:15" ht="18" customHeight="1" x14ac:dyDescent="0.2">
      <c r="A229" s="238"/>
      <c r="B229" s="215"/>
      <c r="C229" s="92"/>
      <c r="D229" s="93" t="s">
        <v>7</v>
      </c>
      <c r="E229" s="94"/>
      <c r="F229" s="95">
        <v>7</v>
      </c>
      <c r="G229" s="218"/>
      <c r="H229" s="96"/>
      <c r="I229" s="97" t="s">
        <v>10</v>
      </c>
      <c r="J229" s="95">
        <v>7</v>
      </c>
      <c r="K229" s="98"/>
      <c r="L229" s="115"/>
      <c r="M229" s="115"/>
      <c r="N229" s="115"/>
      <c r="O229" s="115"/>
    </row>
    <row r="230" spans="1:15" ht="18.75" customHeight="1" thickBot="1" x14ac:dyDescent="0.25">
      <c r="A230" s="238"/>
      <c r="B230" s="216"/>
      <c r="C230" s="99"/>
      <c r="D230" s="100" t="s">
        <v>7</v>
      </c>
      <c r="E230" s="101"/>
      <c r="F230" s="102">
        <v>7</v>
      </c>
      <c r="G230" s="219"/>
      <c r="H230" s="103"/>
      <c r="I230" s="104" t="s">
        <v>10</v>
      </c>
      <c r="J230" s="102">
        <v>7</v>
      </c>
      <c r="K230" s="105"/>
      <c r="L230" s="115"/>
      <c r="M230" s="115"/>
      <c r="N230" s="115"/>
      <c r="O230" s="115"/>
    </row>
    <row r="231" spans="1:15" ht="23.25" x14ac:dyDescent="0.35">
      <c r="A231" s="118"/>
      <c r="B231" s="106"/>
      <c r="C231" s="107"/>
      <c r="D231" s="194" t="s">
        <v>20</v>
      </c>
      <c r="E231" s="195"/>
      <c r="F231" s="108">
        <f>SUM(F207:F230)</f>
        <v>168</v>
      </c>
      <c r="G231" s="107"/>
      <c r="H231" s="185" t="s">
        <v>20</v>
      </c>
      <c r="I231" s="186"/>
      <c r="J231" s="108">
        <f>SUM(J207:J230)</f>
        <v>161</v>
      </c>
      <c r="K231" s="109"/>
      <c r="L231" s="115"/>
      <c r="M231" s="115"/>
      <c r="N231" s="115"/>
      <c r="O231" s="115"/>
    </row>
    <row r="232" spans="1:15" ht="24" thickBot="1" x14ac:dyDescent="0.4">
      <c r="A232" s="119"/>
      <c r="B232" s="110"/>
      <c r="C232" s="111"/>
      <c r="D232" s="187" t="s">
        <v>21</v>
      </c>
      <c r="E232" s="188"/>
      <c r="F232" s="112">
        <f>F231/240*1</f>
        <v>0.7</v>
      </c>
      <c r="G232" s="111"/>
      <c r="H232" s="189" t="s">
        <v>22</v>
      </c>
      <c r="I232" s="190"/>
      <c r="J232" s="113">
        <f>J231/240*1</f>
        <v>0.67083333333333328</v>
      </c>
      <c r="K232" s="114"/>
      <c r="L232" s="115"/>
      <c r="M232" s="115"/>
      <c r="N232" s="115"/>
      <c r="O232" s="115"/>
    </row>
    <row r="233" spans="1:15" ht="24" thickBot="1" x14ac:dyDescent="0.4">
      <c r="A233" s="120">
        <v>9</v>
      </c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</row>
    <row r="234" spans="1:15" ht="21" thickBot="1" x14ac:dyDescent="0.35">
      <c r="A234" s="244" t="s">
        <v>25</v>
      </c>
      <c r="B234" s="191" t="s">
        <v>0</v>
      </c>
      <c r="C234" s="192"/>
      <c r="D234" s="192"/>
      <c r="E234" s="192"/>
      <c r="F234" s="192"/>
      <c r="G234" s="192"/>
      <c r="H234" s="192"/>
      <c r="I234" s="192"/>
      <c r="J234" s="192"/>
      <c r="K234" s="193"/>
      <c r="L234" s="115"/>
      <c r="M234" s="115"/>
      <c r="N234" s="115"/>
      <c r="O234" s="115"/>
    </row>
    <row r="235" spans="1:15" ht="21" thickBot="1" x14ac:dyDescent="0.35">
      <c r="A235" s="245"/>
      <c r="B235" s="196" t="s">
        <v>17</v>
      </c>
      <c r="C235" s="197"/>
      <c r="D235" s="197"/>
      <c r="E235" s="197"/>
      <c r="F235" s="198"/>
      <c r="G235" s="199" t="s">
        <v>1</v>
      </c>
      <c r="H235" s="200"/>
      <c r="I235" s="200"/>
      <c r="J235" s="200"/>
      <c r="K235" s="201"/>
      <c r="L235" s="115"/>
      <c r="M235" s="115"/>
      <c r="N235" s="115"/>
      <c r="O235" s="115"/>
    </row>
    <row r="236" spans="1:15" ht="41.25" thickBot="1" x14ac:dyDescent="0.25">
      <c r="A236" s="246"/>
      <c r="B236" s="2" t="s">
        <v>2</v>
      </c>
      <c r="C236" s="3" t="s">
        <v>6</v>
      </c>
      <c r="D236" s="3" t="s">
        <v>7</v>
      </c>
      <c r="E236" s="3" t="s">
        <v>8</v>
      </c>
      <c r="F236" s="4" t="s">
        <v>19</v>
      </c>
      <c r="G236" s="5" t="s">
        <v>2</v>
      </c>
      <c r="H236" s="6" t="s">
        <v>3</v>
      </c>
      <c r="I236" s="6" t="s">
        <v>4</v>
      </c>
      <c r="J236" s="7" t="s">
        <v>18</v>
      </c>
      <c r="K236" s="8" t="s">
        <v>5</v>
      </c>
      <c r="L236" s="115"/>
      <c r="M236" s="115"/>
      <c r="N236" s="115"/>
      <c r="O236" s="115"/>
    </row>
    <row r="237" spans="1:15" ht="18" x14ac:dyDescent="0.2">
      <c r="A237" s="237">
        <v>45437</v>
      </c>
      <c r="B237" s="220" t="s">
        <v>9</v>
      </c>
      <c r="C237" s="9"/>
      <c r="D237" s="9" t="s">
        <v>7</v>
      </c>
      <c r="E237" s="10"/>
      <c r="F237" s="11">
        <v>7</v>
      </c>
      <c r="G237" s="223" t="s">
        <v>9</v>
      </c>
      <c r="H237" s="12"/>
      <c r="I237" s="12" t="s">
        <v>10</v>
      </c>
      <c r="J237" s="11">
        <v>7</v>
      </c>
      <c r="K237" s="13"/>
      <c r="L237" s="115"/>
      <c r="M237" s="115"/>
      <c r="N237" s="115"/>
      <c r="O237" s="115"/>
    </row>
    <row r="238" spans="1:15" ht="18" x14ac:dyDescent="0.2">
      <c r="A238" s="238"/>
      <c r="B238" s="221"/>
      <c r="C238" s="14"/>
      <c r="D238" s="9" t="s">
        <v>7</v>
      </c>
      <c r="E238" s="10"/>
      <c r="F238" s="11">
        <v>7</v>
      </c>
      <c r="G238" s="224"/>
      <c r="H238" s="15"/>
      <c r="I238" s="16" t="s">
        <v>10</v>
      </c>
      <c r="J238" s="11">
        <v>7</v>
      </c>
      <c r="K238" s="17"/>
      <c r="L238" s="115"/>
      <c r="M238" s="115"/>
      <c r="N238" s="115"/>
      <c r="O238" s="115"/>
    </row>
    <row r="239" spans="1:15" ht="18" x14ac:dyDescent="0.2">
      <c r="A239" s="238"/>
      <c r="B239" s="221"/>
      <c r="C239" s="14"/>
      <c r="D239" s="9" t="s">
        <v>7</v>
      </c>
      <c r="E239" s="10"/>
      <c r="F239" s="11">
        <v>7</v>
      </c>
      <c r="G239" s="224"/>
      <c r="H239" s="15"/>
      <c r="I239" s="16" t="s">
        <v>10</v>
      </c>
      <c r="J239" s="11">
        <v>7</v>
      </c>
      <c r="K239" s="17"/>
      <c r="L239" s="115"/>
      <c r="M239" s="115"/>
      <c r="N239" s="115"/>
      <c r="O239" s="115"/>
    </row>
    <row r="240" spans="1:15" ht="18.75" thickBot="1" x14ac:dyDescent="0.25">
      <c r="A240" s="238"/>
      <c r="B240" s="222"/>
      <c r="C240" s="18"/>
      <c r="D240" s="19" t="s">
        <v>7</v>
      </c>
      <c r="E240" s="20"/>
      <c r="F240" s="21">
        <v>7</v>
      </c>
      <c r="G240" s="225"/>
      <c r="H240" s="22"/>
      <c r="I240" s="23" t="s">
        <v>10</v>
      </c>
      <c r="J240" s="21">
        <v>7</v>
      </c>
      <c r="K240" s="24"/>
      <c r="L240" s="115"/>
      <c r="M240" s="115"/>
      <c r="N240" s="115"/>
      <c r="O240" s="115"/>
    </row>
    <row r="241" spans="1:15" ht="18" customHeight="1" x14ac:dyDescent="0.2">
      <c r="A241" s="237">
        <v>45438</v>
      </c>
      <c r="B241" s="226" t="s">
        <v>12</v>
      </c>
      <c r="C241" s="25"/>
      <c r="D241" s="25" t="s">
        <v>7</v>
      </c>
      <c r="E241" s="26"/>
      <c r="F241" s="27">
        <v>7</v>
      </c>
      <c r="G241" s="229" t="s">
        <v>12</v>
      </c>
      <c r="H241" s="28"/>
      <c r="I241" s="28" t="s">
        <v>10</v>
      </c>
      <c r="J241" s="27">
        <v>7</v>
      </c>
      <c r="K241" s="29"/>
      <c r="L241" s="115"/>
      <c r="M241" s="115"/>
      <c r="N241" s="115"/>
      <c r="O241" s="115"/>
    </row>
    <row r="242" spans="1:15" ht="18" customHeight="1" x14ac:dyDescent="0.2">
      <c r="A242" s="238"/>
      <c r="B242" s="227"/>
      <c r="C242" s="30"/>
      <c r="D242" s="31" t="s">
        <v>7</v>
      </c>
      <c r="E242" s="32"/>
      <c r="F242" s="33">
        <v>7</v>
      </c>
      <c r="G242" s="230"/>
      <c r="H242" s="34"/>
      <c r="I242" s="35" t="s">
        <v>10</v>
      </c>
      <c r="J242" s="33">
        <v>7</v>
      </c>
      <c r="K242" s="36"/>
      <c r="L242" s="115"/>
      <c r="M242" s="115"/>
      <c r="N242" s="115"/>
      <c r="O242" s="115"/>
    </row>
    <row r="243" spans="1:15" ht="18" customHeight="1" x14ac:dyDescent="0.2">
      <c r="A243" s="238"/>
      <c r="B243" s="227"/>
      <c r="C243" s="30"/>
      <c r="D243" s="31" t="s">
        <v>7</v>
      </c>
      <c r="E243" s="32"/>
      <c r="F243" s="33">
        <v>7</v>
      </c>
      <c r="G243" s="230"/>
      <c r="H243" s="34"/>
      <c r="I243" s="35" t="s">
        <v>10</v>
      </c>
      <c r="J243" s="33">
        <v>7</v>
      </c>
      <c r="K243" s="36"/>
      <c r="L243" s="115"/>
      <c r="M243" s="115"/>
      <c r="N243" s="115"/>
      <c r="O243" s="115"/>
    </row>
    <row r="244" spans="1:15" ht="18.75" customHeight="1" thickBot="1" x14ac:dyDescent="0.25">
      <c r="A244" s="238"/>
      <c r="B244" s="228"/>
      <c r="C244" s="37"/>
      <c r="D244" s="38" t="s">
        <v>7</v>
      </c>
      <c r="E244" s="39"/>
      <c r="F244" s="40">
        <v>7</v>
      </c>
      <c r="G244" s="231"/>
      <c r="H244" s="41"/>
      <c r="I244" s="42" t="s">
        <v>10</v>
      </c>
      <c r="J244" s="40">
        <v>7</v>
      </c>
      <c r="K244" s="43"/>
      <c r="L244" s="115"/>
      <c r="M244" s="115"/>
      <c r="N244" s="115"/>
      <c r="O244" s="115"/>
    </row>
    <row r="245" spans="1:15" ht="18" customHeight="1" x14ac:dyDescent="0.2">
      <c r="A245" s="237">
        <v>45439</v>
      </c>
      <c r="B245" s="232" t="s">
        <v>13</v>
      </c>
      <c r="C245" s="44"/>
      <c r="D245" s="44" t="s">
        <v>7</v>
      </c>
      <c r="E245" s="45"/>
      <c r="F245" s="46">
        <v>7</v>
      </c>
      <c r="G245" s="185" t="s">
        <v>13</v>
      </c>
      <c r="H245" s="47"/>
      <c r="I245" s="47" t="s">
        <v>10</v>
      </c>
      <c r="J245" s="46">
        <v>7</v>
      </c>
      <c r="K245" s="48"/>
      <c r="L245" s="115"/>
      <c r="M245" s="115"/>
      <c r="N245" s="115"/>
      <c r="O245" s="115"/>
    </row>
    <row r="246" spans="1:15" ht="18" customHeight="1" x14ac:dyDescent="0.2">
      <c r="A246" s="238"/>
      <c r="B246" s="233"/>
      <c r="C246" s="49"/>
      <c r="D246" s="44" t="s">
        <v>7</v>
      </c>
      <c r="E246" s="45"/>
      <c r="F246" s="46">
        <v>7</v>
      </c>
      <c r="G246" s="235"/>
      <c r="H246" s="50"/>
      <c r="I246" s="51" t="s">
        <v>10</v>
      </c>
      <c r="J246" s="46">
        <v>7</v>
      </c>
      <c r="K246" s="52"/>
      <c r="L246" s="115"/>
      <c r="M246" s="115"/>
      <c r="N246" s="115"/>
      <c r="O246" s="115"/>
    </row>
    <row r="247" spans="1:15" ht="18" customHeight="1" x14ac:dyDescent="0.2">
      <c r="A247" s="238"/>
      <c r="B247" s="233"/>
      <c r="C247" s="49"/>
      <c r="D247" s="44" t="s">
        <v>7</v>
      </c>
      <c r="E247" s="45"/>
      <c r="F247" s="46">
        <v>7</v>
      </c>
      <c r="G247" s="235"/>
      <c r="H247" s="50"/>
      <c r="I247" s="51" t="s">
        <v>10</v>
      </c>
      <c r="J247" s="46">
        <v>7</v>
      </c>
      <c r="K247" s="52"/>
      <c r="L247" s="115"/>
      <c r="M247" s="115"/>
      <c r="N247" s="115"/>
      <c r="O247" s="115"/>
    </row>
    <row r="248" spans="1:15" ht="18.75" customHeight="1" thickBot="1" x14ac:dyDescent="0.25">
      <c r="A248" s="238"/>
      <c r="B248" s="234"/>
      <c r="C248" s="53"/>
      <c r="D248" s="54" t="s">
        <v>7</v>
      </c>
      <c r="E248" s="55"/>
      <c r="F248" s="56">
        <v>7</v>
      </c>
      <c r="G248" s="236"/>
      <c r="H248" s="57"/>
      <c r="I248" s="58" t="s">
        <v>10</v>
      </c>
      <c r="J248" s="56">
        <v>7</v>
      </c>
      <c r="K248" s="59"/>
      <c r="L248" s="115"/>
      <c r="M248" s="115"/>
      <c r="N248" s="115"/>
      <c r="O248" s="115"/>
    </row>
    <row r="249" spans="1:15" ht="18" customHeight="1" x14ac:dyDescent="0.2">
      <c r="A249" s="237">
        <v>45440</v>
      </c>
      <c r="B249" s="202" t="s">
        <v>14</v>
      </c>
      <c r="C249" s="60"/>
      <c r="D249" s="60" t="s">
        <v>7</v>
      </c>
      <c r="E249" s="61"/>
      <c r="F249" s="62">
        <v>7</v>
      </c>
      <c r="G249" s="205" t="s">
        <v>14</v>
      </c>
      <c r="H249" s="44"/>
      <c r="I249" s="44" t="s">
        <v>10</v>
      </c>
      <c r="J249" s="62">
        <v>7</v>
      </c>
      <c r="K249" s="45"/>
      <c r="L249" s="115"/>
      <c r="M249" s="115"/>
      <c r="N249" s="115"/>
      <c r="O249" s="115"/>
    </row>
    <row r="250" spans="1:15" ht="18" customHeight="1" x14ac:dyDescent="0.2">
      <c r="A250" s="238"/>
      <c r="B250" s="203"/>
      <c r="C250" s="63"/>
      <c r="D250" s="64" t="s">
        <v>7</v>
      </c>
      <c r="E250" s="65"/>
      <c r="F250" s="66">
        <v>7</v>
      </c>
      <c r="G250" s="206"/>
      <c r="H250" s="49"/>
      <c r="I250" s="44" t="s">
        <v>10</v>
      </c>
      <c r="J250" s="66">
        <v>7</v>
      </c>
      <c r="K250" s="67"/>
      <c r="L250" s="115"/>
      <c r="M250" s="115"/>
      <c r="N250" s="115"/>
      <c r="O250" s="115"/>
    </row>
    <row r="251" spans="1:15" ht="18" customHeight="1" x14ac:dyDescent="0.2">
      <c r="A251" s="238"/>
      <c r="B251" s="203"/>
      <c r="C251" s="63"/>
      <c r="D251" s="64" t="s">
        <v>7</v>
      </c>
      <c r="E251" s="65"/>
      <c r="F251" s="66">
        <v>7</v>
      </c>
      <c r="G251" s="206"/>
      <c r="H251" s="49"/>
      <c r="I251" s="44" t="s">
        <v>10</v>
      </c>
      <c r="J251" s="66">
        <v>7</v>
      </c>
      <c r="K251" s="67"/>
      <c r="L251" s="115"/>
      <c r="M251" s="115"/>
      <c r="N251" s="115"/>
      <c r="O251" s="115"/>
    </row>
    <row r="252" spans="1:15" ht="18.75" customHeight="1" thickBot="1" x14ac:dyDescent="0.25">
      <c r="A252" s="238"/>
      <c r="B252" s="204"/>
      <c r="C252" s="68"/>
      <c r="D252" s="69" t="s">
        <v>7</v>
      </c>
      <c r="E252" s="70"/>
      <c r="F252" s="71">
        <v>7</v>
      </c>
      <c r="G252" s="207"/>
      <c r="H252" s="53"/>
      <c r="I252" s="54" t="s">
        <v>10</v>
      </c>
      <c r="J252" s="71">
        <v>7</v>
      </c>
      <c r="K252" s="72"/>
      <c r="L252" s="115"/>
      <c r="M252" s="115"/>
      <c r="N252" s="115"/>
      <c r="O252" s="115"/>
    </row>
    <row r="253" spans="1:15" ht="18" customHeight="1" x14ac:dyDescent="0.2">
      <c r="A253" s="237">
        <v>45441</v>
      </c>
      <c r="B253" s="208" t="s">
        <v>15</v>
      </c>
      <c r="C253" s="16"/>
      <c r="D253" s="16" t="s">
        <v>7</v>
      </c>
      <c r="E253" s="73"/>
      <c r="F253" s="74">
        <v>7</v>
      </c>
      <c r="G253" s="211" t="s">
        <v>15</v>
      </c>
      <c r="H253" s="75"/>
      <c r="I253" s="75" t="s">
        <v>10</v>
      </c>
      <c r="J253" s="74">
        <v>7</v>
      </c>
      <c r="K253" s="76"/>
      <c r="L253" s="115"/>
      <c r="M253" s="115"/>
      <c r="N253" s="115"/>
      <c r="O253" s="115"/>
    </row>
    <row r="254" spans="1:15" ht="18" customHeight="1" x14ac:dyDescent="0.2">
      <c r="A254" s="238"/>
      <c r="B254" s="209"/>
      <c r="C254" s="15"/>
      <c r="D254" s="16" t="s">
        <v>7</v>
      </c>
      <c r="E254" s="73"/>
      <c r="F254" s="74">
        <v>7</v>
      </c>
      <c r="G254" s="212"/>
      <c r="H254" s="77"/>
      <c r="I254" s="78" t="s">
        <v>10</v>
      </c>
      <c r="J254" s="74">
        <v>7</v>
      </c>
      <c r="K254" s="79"/>
      <c r="L254" s="115"/>
      <c r="M254" s="115"/>
      <c r="N254" s="115"/>
      <c r="O254" s="115"/>
    </row>
    <row r="255" spans="1:15" ht="18" customHeight="1" x14ac:dyDescent="0.2">
      <c r="A255" s="238"/>
      <c r="B255" s="209"/>
      <c r="C255" s="15"/>
      <c r="D255" s="16" t="s">
        <v>7</v>
      </c>
      <c r="E255" s="73"/>
      <c r="F255" s="74">
        <v>7</v>
      </c>
      <c r="G255" s="212"/>
      <c r="H255" s="77"/>
      <c r="I255" s="78" t="s">
        <v>10</v>
      </c>
      <c r="J255" s="74">
        <v>7</v>
      </c>
      <c r="K255" s="79"/>
      <c r="L255" s="115"/>
      <c r="M255" s="115"/>
      <c r="N255" s="115"/>
      <c r="O255" s="115"/>
    </row>
    <row r="256" spans="1:15" ht="18.75" customHeight="1" thickBot="1" x14ac:dyDescent="0.25">
      <c r="A256" s="238"/>
      <c r="B256" s="210"/>
      <c r="C256" s="80"/>
      <c r="D256" s="81" t="s">
        <v>7</v>
      </c>
      <c r="E256" s="82"/>
      <c r="F256" s="83">
        <v>7</v>
      </c>
      <c r="G256" s="213"/>
      <c r="H256" s="84"/>
      <c r="I256" s="85" t="s">
        <v>10</v>
      </c>
      <c r="J256" s="83">
        <v>7</v>
      </c>
      <c r="K256" s="86"/>
      <c r="L256" s="115"/>
      <c r="M256" s="115"/>
      <c r="N256" s="115"/>
      <c r="O256" s="115"/>
    </row>
    <row r="257" spans="1:15" ht="18" customHeight="1" x14ac:dyDescent="0.2">
      <c r="A257" s="237">
        <v>45442</v>
      </c>
      <c r="B257" s="214" t="s">
        <v>16</v>
      </c>
      <c r="C257" s="87"/>
      <c r="D257" s="87" t="s">
        <v>7</v>
      </c>
      <c r="E257" s="88"/>
      <c r="F257" s="89">
        <v>7</v>
      </c>
      <c r="G257" s="217" t="s">
        <v>16</v>
      </c>
      <c r="H257" s="90"/>
      <c r="I257" s="90" t="s">
        <v>10</v>
      </c>
      <c r="J257" s="89">
        <v>0</v>
      </c>
      <c r="K257" s="91"/>
      <c r="L257" s="115"/>
      <c r="M257" s="115"/>
      <c r="N257" s="115"/>
      <c r="O257" s="115"/>
    </row>
    <row r="258" spans="1:15" ht="18" customHeight="1" x14ac:dyDescent="0.2">
      <c r="A258" s="238"/>
      <c r="B258" s="215"/>
      <c r="C258" s="92"/>
      <c r="D258" s="93" t="s">
        <v>7</v>
      </c>
      <c r="E258" s="94"/>
      <c r="F258" s="95">
        <v>7</v>
      </c>
      <c r="G258" s="218"/>
      <c r="H258" s="96"/>
      <c r="I258" s="97" t="s">
        <v>10</v>
      </c>
      <c r="J258" s="95">
        <v>7</v>
      </c>
      <c r="K258" s="98"/>
      <c r="L258" s="115"/>
      <c r="M258" s="115"/>
      <c r="N258" s="115"/>
      <c r="O258" s="115"/>
    </row>
    <row r="259" spans="1:15" ht="18" customHeight="1" x14ac:dyDescent="0.2">
      <c r="A259" s="238"/>
      <c r="B259" s="215"/>
      <c r="C259" s="92"/>
      <c r="D259" s="93" t="s">
        <v>7</v>
      </c>
      <c r="E259" s="94"/>
      <c r="F259" s="95">
        <v>7</v>
      </c>
      <c r="G259" s="218"/>
      <c r="H259" s="96"/>
      <c r="I259" s="97" t="s">
        <v>10</v>
      </c>
      <c r="J259" s="95">
        <v>7</v>
      </c>
      <c r="K259" s="98"/>
      <c r="L259" s="115"/>
      <c r="M259" s="115"/>
      <c r="N259" s="115"/>
      <c r="O259" s="115"/>
    </row>
    <row r="260" spans="1:15" ht="18.75" customHeight="1" thickBot="1" x14ac:dyDescent="0.25">
      <c r="A260" s="238"/>
      <c r="B260" s="216"/>
      <c r="C260" s="99"/>
      <c r="D260" s="100" t="s">
        <v>7</v>
      </c>
      <c r="E260" s="101"/>
      <c r="F260" s="102">
        <v>7</v>
      </c>
      <c r="G260" s="219"/>
      <c r="H260" s="103"/>
      <c r="I260" s="104" t="s">
        <v>10</v>
      </c>
      <c r="J260" s="102">
        <v>7</v>
      </c>
      <c r="K260" s="105"/>
      <c r="L260" s="115"/>
      <c r="M260" s="115"/>
      <c r="N260" s="115"/>
      <c r="O260" s="115"/>
    </row>
    <row r="261" spans="1:15" ht="23.25" x14ac:dyDescent="0.35">
      <c r="A261" s="118"/>
      <c r="B261" s="106"/>
      <c r="C261" s="107"/>
      <c r="D261" s="194" t="s">
        <v>20</v>
      </c>
      <c r="E261" s="195"/>
      <c r="F261" s="108">
        <f>SUM(F237:F260)</f>
        <v>168</v>
      </c>
      <c r="G261" s="107"/>
      <c r="H261" s="185" t="s">
        <v>20</v>
      </c>
      <c r="I261" s="186"/>
      <c r="J261" s="108">
        <f>SUM(J237:J260)</f>
        <v>161</v>
      </c>
      <c r="K261" s="109"/>
      <c r="L261" s="115"/>
      <c r="M261" s="115"/>
      <c r="N261" s="115"/>
      <c r="O261" s="115"/>
    </row>
    <row r="262" spans="1:15" ht="24" thickBot="1" x14ac:dyDescent="0.4">
      <c r="A262" s="119"/>
      <c r="B262" s="110"/>
      <c r="C262" s="111"/>
      <c r="D262" s="187" t="s">
        <v>21</v>
      </c>
      <c r="E262" s="188"/>
      <c r="F262" s="112">
        <f>F261/240*1</f>
        <v>0.7</v>
      </c>
      <c r="G262" s="111"/>
      <c r="H262" s="189" t="s">
        <v>22</v>
      </c>
      <c r="I262" s="190"/>
      <c r="J262" s="113">
        <f>J261/240*1</f>
        <v>0.67083333333333328</v>
      </c>
      <c r="K262" s="114"/>
      <c r="L262" s="115"/>
      <c r="M262" s="115"/>
      <c r="N262" s="115"/>
      <c r="O262" s="115"/>
    </row>
    <row r="263" spans="1:15" ht="24" thickBot="1" x14ac:dyDescent="0.4">
      <c r="A263" s="120">
        <v>10</v>
      </c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</row>
    <row r="264" spans="1:15" ht="21" thickBot="1" x14ac:dyDescent="0.35">
      <c r="A264" s="244" t="s">
        <v>25</v>
      </c>
      <c r="B264" s="191" t="s">
        <v>0</v>
      </c>
      <c r="C264" s="192"/>
      <c r="D264" s="192"/>
      <c r="E264" s="192"/>
      <c r="F264" s="192"/>
      <c r="G264" s="192"/>
      <c r="H264" s="192"/>
      <c r="I264" s="192"/>
      <c r="J264" s="192"/>
      <c r="K264" s="193"/>
      <c r="L264" s="115"/>
      <c r="M264" s="115"/>
      <c r="N264" s="115"/>
      <c r="O264" s="115"/>
    </row>
    <row r="265" spans="1:15" ht="21" thickBot="1" x14ac:dyDescent="0.35">
      <c r="A265" s="245"/>
      <c r="B265" s="196" t="s">
        <v>17</v>
      </c>
      <c r="C265" s="197"/>
      <c r="D265" s="197"/>
      <c r="E265" s="197"/>
      <c r="F265" s="198"/>
      <c r="G265" s="199" t="s">
        <v>1</v>
      </c>
      <c r="H265" s="200"/>
      <c r="I265" s="200"/>
      <c r="J265" s="200"/>
      <c r="K265" s="201"/>
      <c r="L265" s="115"/>
      <c r="M265" s="115"/>
      <c r="N265" s="115"/>
      <c r="O265" s="115"/>
    </row>
    <row r="266" spans="1:15" ht="41.25" thickBot="1" x14ac:dyDescent="0.25">
      <c r="A266" s="246"/>
      <c r="B266" s="2" t="s">
        <v>2</v>
      </c>
      <c r="C266" s="3" t="s">
        <v>6</v>
      </c>
      <c r="D266" s="3" t="s">
        <v>7</v>
      </c>
      <c r="E266" s="3" t="s">
        <v>8</v>
      </c>
      <c r="F266" s="4" t="s">
        <v>19</v>
      </c>
      <c r="G266" s="5" t="s">
        <v>2</v>
      </c>
      <c r="H266" s="6" t="s">
        <v>3</v>
      </c>
      <c r="I266" s="6" t="s">
        <v>4</v>
      </c>
      <c r="J266" s="7" t="s">
        <v>18</v>
      </c>
      <c r="K266" s="8" t="s">
        <v>5</v>
      </c>
      <c r="L266" s="115"/>
      <c r="M266" s="115"/>
      <c r="N266" s="115"/>
      <c r="O266" s="115"/>
    </row>
    <row r="267" spans="1:15" ht="18" x14ac:dyDescent="0.2">
      <c r="A267" s="237">
        <v>45444</v>
      </c>
      <c r="B267" s="220" t="s">
        <v>9</v>
      </c>
      <c r="C267" s="9"/>
      <c r="D267" s="9" t="s">
        <v>7</v>
      </c>
      <c r="E267" s="10"/>
      <c r="F267" s="11">
        <v>7</v>
      </c>
      <c r="G267" s="223" t="s">
        <v>9</v>
      </c>
      <c r="H267" s="12"/>
      <c r="I267" s="12" t="s">
        <v>10</v>
      </c>
      <c r="J267" s="11">
        <v>7</v>
      </c>
      <c r="K267" s="13"/>
      <c r="L267" s="115"/>
      <c r="M267" s="115"/>
      <c r="N267" s="115"/>
      <c r="O267" s="115"/>
    </row>
    <row r="268" spans="1:15" ht="18" x14ac:dyDescent="0.2">
      <c r="A268" s="238"/>
      <c r="B268" s="221"/>
      <c r="C268" s="14"/>
      <c r="D268" s="9" t="s">
        <v>7</v>
      </c>
      <c r="E268" s="10"/>
      <c r="F268" s="11">
        <v>7</v>
      </c>
      <c r="G268" s="224"/>
      <c r="H268" s="15"/>
      <c r="I268" s="16" t="s">
        <v>10</v>
      </c>
      <c r="J268" s="11">
        <v>7</v>
      </c>
      <c r="K268" s="17"/>
      <c r="L268" s="115"/>
      <c r="M268" s="115"/>
      <c r="N268" s="115"/>
      <c r="O268" s="115"/>
    </row>
    <row r="269" spans="1:15" ht="18" x14ac:dyDescent="0.2">
      <c r="A269" s="238"/>
      <c r="B269" s="221"/>
      <c r="C269" s="14"/>
      <c r="D269" s="9" t="s">
        <v>7</v>
      </c>
      <c r="E269" s="10"/>
      <c r="F269" s="11">
        <v>7</v>
      </c>
      <c r="G269" s="224"/>
      <c r="H269" s="15"/>
      <c r="I269" s="16" t="s">
        <v>10</v>
      </c>
      <c r="J269" s="11">
        <v>7</v>
      </c>
      <c r="K269" s="17"/>
      <c r="L269" s="115"/>
      <c r="M269" s="115"/>
      <c r="N269" s="115"/>
      <c r="O269" s="115"/>
    </row>
    <row r="270" spans="1:15" ht="18.75" thickBot="1" x14ac:dyDescent="0.25">
      <c r="A270" s="238"/>
      <c r="B270" s="222"/>
      <c r="C270" s="18"/>
      <c r="D270" s="19" t="s">
        <v>7</v>
      </c>
      <c r="E270" s="20"/>
      <c r="F270" s="21">
        <v>7</v>
      </c>
      <c r="G270" s="225"/>
      <c r="H270" s="22"/>
      <c r="I270" s="23" t="s">
        <v>10</v>
      </c>
      <c r="J270" s="21">
        <v>7</v>
      </c>
      <c r="K270" s="24"/>
      <c r="L270" s="115"/>
      <c r="M270" s="115"/>
      <c r="N270" s="115"/>
      <c r="O270" s="115"/>
    </row>
    <row r="271" spans="1:15" ht="18" customHeight="1" x14ac:dyDescent="0.2">
      <c r="A271" s="237">
        <v>45445</v>
      </c>
      <c r="B271" s="226" t="s">
        <v>12</v>
      </c>
      <c r="C271" s="25"/>
      <c r="D271" s="25" t="s">
        <v>7</v>
      </c>
      <c r="E271" s="26"/>
      <c r="F271" s="27">
        <v>7</v>
      </c>
      <c r="G271" s="229" t="s">
        <v>12</v>
      </c>
      <c r="H271" s="28"/>
      <c r="I271" s="28" t="s">
        <v>10</v>
      </c>
      <c r="J271" s="27">
        <v>7</v>
      </c>
      <c r="K271" s="29"/>
      <c r="L271" s="115"/>
      <c r="M271" s="115"/>
      <c r="N271" s="115"/>
      <c r="O271" s="115"/>
    </row>
    <row r="272" spans="1:15" ht="18" customHeight="1" x14ac:dyDescent="0.2">
      <c r="A272" s="238"/>
      <c r="B272" s="227"/>
      <c r="C272" s="30"/>
      <c r="D272" s="31" t="s">
        <v>7</v>
      </c>
      <c r="E272" s="32"/>
      <c r="F272" s="33">
        <v>7</v>
      </c>
      <c r="G272" s="230"/>
      <c r="H272" s="34"/>
      <c r="I272" s="35" t="s">
        <v>10</v>
      </c>
      <c r="J272" s="33">
        <v>7</v>
      </c>
      <c r="K272" s="36"/>
      <c r="L272" s="115"/>
      <c r="M272" s="115"/>
      <c r="N272" s="115"/>
      <c r="O272" s="115"/>
    </row>
    <row r="273" spans="1:15" ht="18" customHeight="1" x14ac:dyDescent="0.2">
      <c r="A273" s="238"/>
      <c r="B273" s="227"/>
      <c r="C273" s="30"/>
      <c r="D273" s="31" t="s">
        <v>7</v>
      </c>
      <c r="E273" s="32"/>
      <c r="F273" s="33">
        <v>7</v>
      </c>
      <c r="G273" s="230"/>
      <c r="H273" s="34"/>
      <c r="I273" s="35" t="s">
        <v>10</v>
      </c>
      <c r="J273" s="33">
        <v>7</v>
      </c>
      <c r="K273" s="36"/>
      <c r="L273" s="115"/>
      <c r="M273" s="115"/>
      <c r="N273" s="115"/>
      <c r="O273" s="115"/>
    </row>
    <row r="274" spans="1:15" ht="18.75" customHeight="1" thickBot="1" x14ac:dyDescent="0.25">
      <c r="A274" s="238"/>
      <c r="B274" s="228"/>
      <c r="C274" s="37"/>
      <c r="D274" s="38" t="s">
        <v>7</v>
      </c>
      <c r="E274" s="39"/>
      <c r="F274" s="40">
        <v>7</v>
      </c>
      <c r="G274" s="231"/>
      <c r="H274" s="41"/>
      <c r="I274" s="42" t="s">
        <v>10</v>
      </c>
      <c r="J274" s="40">
        <v>7</v>
      </c>
      <c r="K274" s="43"/>
      <c r="L274" s="115"/>
      <c r="M274" s="115"/>
      <c r="N274" s="115"/>
      <c r="O274" s="115"/>
    </row>
    <row r="275" spans="1:15" ht="18" customHeight="1" x14ac:dyDescent="0.2">
      <c r="A275" s="237">
        <v>45446</v>
      </c>
      <c r="B275" s="232" t="s">
        <v>13</v>
      </c>
      <c r="C275" s="44"/>
      <c r="D275" s="44" t="s">
        <v>7</v>
      </c>
      <c r="E275" s="45"/>
      <c r="F275" s="46">
        <v>7</v>
      </c>
      <c r="G275" s="185" t="s">
        <v>13</v>
      </c>
      <c r="H275" s="47"/>
      <c r="I275" s="47" t="s">
        <v>10</v>
      </c>
      <c r="J275" s="46">
        <v>7</v>
      </c>
      <c r="K275" s="48"/>
      <c r="L275" s="115"/>
      <c r="M275" s="115"/>
      <c r="N275" s="115"/>
      <c r="O275" s="115"/>
    </row>
    <row r="276" spans="1:15" ht="18" customHeight="1" x14ac:dyDescent="0.2">
      <c r="A276" s="238"/>
      <c r="B276" s="233"/>
      <c r="C276" s="49"/>
      <c r="D276" s="44" t="s">
        <v>7</v>
      </c>
      <c r="E276" s="45"/>
      <c r="F276" s="46">
        <v>7</v>
      </c>
      <c r="G276" s="235"/>
      <c r="H276" s="50"/>
      <c r="I276" s="51" t="s">
        <v>10</v>
      </c>
      <c r="J276" s="46">
        <v>7</v>
      </c>
      <c r="K276" s="52"/>
      <c r="L276" s="115"/>
      <c r="M276" s="115"/>
      <c r="N276" s="115"/>
      <c r="O276" s="115"/>
    </row>
    <row r="277" spans="1:15" ht="18" customHeight="1" x14ac:dyDescent="0.2">
      <c r="A277" s="238"/>
      <c r="B277" s="233"/>
      <c r="C277" s="49"/>
      <c r="D277" s="44" t="s">
        <v>7</v>
      </c>
      <c r="E277" s="45"/>
      <c r="F277" s="46">
        <v>7</v>
      </c>
      <c r="G277" s="235"/>
      <c r="H277" s="50"/>
      <c r="I277" s="51" t="s">
        <v>10</v>
      </c>
      <c r="J277" s="46">
        <v>7</v>
      </c>
      <c r="K277" s="52"/>
      <c r="L277" s="115"/>
      <c r="M277" s="115"/>
      <c r="N277" s="115"/>
      <c r="O277" s="115"/>
    </row>
    <row r="278" spans="1:15" ht="18.75" customHeight="1" thickBot="1" x14ac:dyDescent="0.25">
      <c r="A278" s="238"/>
      <c r="B278" s="234"/>
      <c r="C278" s="53"/>
      <c r="D278" s="54" t="s">
        <v>7</v>
      </c>
      <c r="E278" s="55"/>
      <c r="F278" s="56">
        <v>7</v>
      </c>
      <c r="G278" s="236"/>
      <c r="H278" s="57"/>
      <c r="I278" s="58" t="s">
        <v>10</v>
      </c>
      <c r="J278" s="56">
        <v>7</v>
      </c>
      <c r="K278" s="59"/>
      <c r="L278" s="115"/>
      <c r="M278" s="115"/>
      <c r="N278" s="115"/>
      <c r="O278" s="115"/>
    </row>
    <row r="279" spans="1:15" ht="18" customHeight="1" x14ac:dyDescent="0.2">
      <c r="A279" s="237">
        <v>45447</v>
      </c>
      <c r="B279" s="202" t="s">
        <v>14</v>
      </c>
      <c r="C279" s="60"/>
      <c r="D279" s="60" t="s">
        <v>7</v>
      </c>
      <c r="E279" s="61"/>
      <c r="F279" s="62">
        <v>7</v>
      </c>
      <c r="G279" s="205" t="s">
        <v>14</v>
      </c>
      <c r="H279" s="44"/>
      <c r="I279" s="44" t="s">
        <v>10</v>
      </c>
      <c r="J279" s="62">
        <v>7</v>
      </c>
      <c r="K279" s="45"/>
      <c r="L279" s="115"/>
      <c r="M279" s="115"/>
      <c r="N279" s="115"/>
      <c r="O279" s="115"/>
    </row>
    <row r="280" spans="1:15" ht="18" customHeight="1" x14ac:dyDescent="0.2">
      <c r="A280" s="238"/>
      <c r="B280" s="203"/>
      <c r="C280" s="63"/>
      <c r="D280" s="64" t="s">
        <v>7</v>
      </c>
      <c r="E280" s="65"/>
      <c r="F280" s="66">
        <v>7</v>
      </c>
      <c r="G280" s="206"/>
      <c r="H280" s="49"/>
      <c r="I280" s="44" t="s">
        <v>10</v>
      </c>
      <c r="J280" s="66">
        <v>7</v>
      </c>
      <c r="K280" s="67"/>
      <c r="L280" s="115"/>
      <c r="M280" s="115"/>
      <c r="N280" s="115"/>
      <c r="O280" s="115"/>
    </row>
    <row r="281" spans="1:15" ht="18" customHeight="1" x14ac:dyDescent="0.2">
      <c r="A281" s="238"/>
      <c r="B281" s="203"/>
      <c r="C281" s="63"/>
      <c r="D281" s="64" t="s">
        <v>7</v>
      </c>
      <c r="E281" s="65"/>
      <c r="F281" s="66">
        <v>7</v>
      </c>
      <c r="G281" s="206"/>
      <c r="H281" s="49"/>
      <c r="I281" s="44" t="s">
        <v>10</v>
      </c>
      <c r="J281" s="66">
        <v>7</v>
      </c>
      <c r="K281" s="67"/>
      <c r="L281" s="115"/>
      <c r="M281" s="115"/>
      <c r="N281" s="115"/>
      <c r="O281" s="115"/>
    </row>
    <row r="282" spans="1:15" ht="18.75" customHeight="1" thickBot="1" x14ac:dyDescent="0.25">
      <c r="A282" s="238"/>
      <c r="B282" s="204"/>
      <c r="C282" s="68"/>
      <c r="D282" s="69" t="s">
        <v>7</v>
      </c>
      <c r="E282" s="70"/>
      <c r="F282" s="71">
        <v>7</v>
      </c>
      <c r="G282" s="207"/>
      <c r="H282" s="53"/>
      <c r="I282" s="54" t="s">
        <v>10</v>
      </c>
      <c r="J282" s="71">
        <v>7</v>
      </c>
      <c r="K282" s="72"/>
      <c r="L282" s="115"/>
      <c r="M282" s="115"/>
      <c r="N282" s="115"/>
      <c r="O282" s="115"/>
    </row>
    <row r="283" spans="1:15" ht="18" customHeight="1" x14ac:dyDescent="0.2">
      <c r="A283" s="237">
        <v>45448</v>
      </c>
      <c r="B283" s="208" t="s">
        <v>15</v>
      </c>
      <c r="C283" s="16"/>
      <c r="D283" s="16" t="s">
        <v>7</v>
      </c>
      <c r="E283" s="73"/>
      <c r="F283" s="74">
        <v>7</v>
      </c>
      <c r="G283" s="211" t="s">
        <v>15</v>
      </c>
      <c r="H283" s="75"/>
      <c r="I283" s="75" t="s">
        <v>10</v>
      </c>
      <c r="J283" s="74">
        <v>7</v>
      </c>
      <c r="K283" s="76"/>
      <c r="L283" s="115"/>
      <c r="M283" s="115"/>
      <c r="N283" s="115"/>
      <c r="O283" s="115"/>
    </row>
    <row r="284" spans="1:15" ht="18" customHeight="1" x14ac:dyDescent="0.2">
      <c r="A284" s="238"/>
      <c r="B284" s="209"/>
      <c r="C284" s="15"/>
      <c r="D284" s="16" t="s">
        <v>7</v>
      </c>
      <c r="E284" s="73"/>
      <c r="F284" s="74">
        <v>7</v>
      </c>
      <c r="G284" s="212"/>
      <c r="H284" s="77"/>
      <c r="I284" s="78" t="s">
        <v>10</v>
      </c>
      <c r="J284" s="74">
        <v>7</v>
      </c>
      <c r="K284" s="79"/>
      <c r="L284" s="115"/>
      <c r="M284" s="115"/>
      <c r="N284" s="115"/>
      <c r="O284" s="115"/>
    </row>
    <row r="285" spans="1:15" ht="18" customHeight="1" x14ac:dyDescent="0.2">
      <c r="A285" s="238"/>
      <c r="B285" s="209"/>
      <c r="C285" s="15"/>
      <c r="D285" s="16" t="s">
        <v>7</v>
      </c>
      <c r="E285" s="73"/>
      <c r="F285" s="74">
        <v>7</v>
      </c>
      <c r="G285" s="212"/>
      <c r="H285" s="77"/>
      <c r="I285" s="78" t="s">
        <v>10</v>
      </c>
      <c r="J285" s="74">
        <v>7</v>
      </c>
      <c r="K285" s="79"/>
      <c r="L285" s="115"/>
      <c r="M285" s="115"/>
      <c r="N285" s="115"/>
      <c r="O285" s="115"/>
    </row>
    <row r="286" spans="1:15" ht="18.75" customHeight="1" thickBot="1" x14ac:dyDescent="0.25">
      <c r="A286" s="238"/>
      <c r="B286" s="210"/>
      <c r="C286" s="80"/>
      <c r="D286" s="81" t="s">
        <v>7</v>
      </c>
      <c r="E286" s="82"/>
      <c r="F286" s="83">
        <v>7</v>
      </c>
      <c r="G286" s="213"/>
      <c r="H286" s="84"/>
      <c r="I286" s="85" t="s">
        <v>10</v>
      </c>
      <c r="J286" s="83">
        <v>7</v>
      </c>
      <c r="K286" s="86"/>
      <c r="L286" s="115"/>
      <c r="M286" s="115"/>
      <c r="N286" s="115"/>
      <c r="O286" s="115"/>
    </row>
    <row r="287" spans="1:15" ht="18" customHeight="1" x14ac:dyDescent="0.2">
      <c r="A287" s="237">
        <v>45449</v>
      </c>
      <c r="B287" s="214" t="s">
        <v>16</v>
      </c>
      <c r="C287" s="87"/>
      <c r="D287" s="87" t="s">
        <v>7</v>
      </c>
      <c r="E287" s="88"/>
      <c r="F287" s="89">
        <v>7</v>
      </c>
      <c r="G287" s="217" t="s">
        <v>16</v>
      </c>
      <c r="H287" s="90"/>
      <c r="I287" s="90" t="s">
        <v>10</v>
      </c>
      <c r="J287" s="89">
        <v>0</v>
      </c>
      <c r="K287" s="91"/>
      <c r="L287" s="115"/>
      <c r="M287" s="115"/>
      <c r="N287" s="115"/>
      <c r="O287" s="115"/>
    </row>
    <row r="288" spans="1:15" ht="18" customHeight="1" x14ac:dyDescent="0.2">
      <c r="A288" s="238"/>
      <c r="B288" s="215"/>
      <c r="C288" s="92"/>
      <c r="D288" s="93" t="s">
        <v>7</v>
      </c>
      <c r="E288" s="94"/>
      <c r="F288" s="95">
        <v>7</v>
      </c>
      <c r="G288" s="218"/>
      <c r="H288" s="96"/>
      <c r="I288" s="97" t="s">
        <v>10</v>
      </c>
      <c r="J288" s="95">
        <v>7</v>
      </c>
      <c r="K288" s="98"/>
      <c r="L288" s="115"/>
      <c r="M288" s="115"/>
      <c r="N288" s="115"/>
      <c r="O288" s="115"/>
    </row>
    <row r="289" spans="1:15" ht="18" customHeight="1" x14ac:dyDescent="0.2">
      <c r="A289" s="238"/>
      <c r="B289" s="215"/>
      <c r="C289" s="92"/>
      <c r="D289" s="93" t="s">
        <v>7</v>
      </c>
      <c r="E289" s="94"/>
      <c r="F289" s="95">
        <v>7</v>
      </c>
      <c r="G289" s="218"/>
      <c r="H289" s="96"/>
      <c r="I289" s="97" t="s">
        <v>10</v>
      </c>
      <c r="J289" s="95">
        <v>7</v>
      </c>
      <c r="K289" s="98"/>
      <c r="L289" s="115"/>
      <c r="M289" s="115"/>
      <c r="N289" s="115"/>
      <c r="O289" s="115"/>
    </row>
    <row r="290" spans="1:15" ht="18.75" customHeight="1" thickBot="1" x14ac:dyDescent="0.25">
      <c r="A290" s="238"/>
      <c r="B290" s="216"/>
      <c r="C290" s="99"/>
      <c r="D290" s="100" t="s">
        <v>7</v>
      </c>
      <c r="E290" s="101"/>
      <c r="F290" s="102">
        <v>7</v>
      </c>
      <c r="G290" s="219"/>
      <c r="H290" s="103"/>
      <c r="I290" s="104" t="s">
        <v>10</v>
      </c>
      <c r="J290" s="102">
        <v>7</v>
      </c>
      <c r="K290" s="105"/>
      <c r="L290" s="115"/>
      <c r="M290" s="115"/>
      <c r="N290" s="115"/>
      <c r="O290" s="115"/>
    </row>
    <row r="291" spans="1:15" ht="23.25" x14ac:dyDescent="0.35">
      <c r="A291" s="118"/>
      <c r="B291" s="106"/>
      <c r="C291" s="107"/>
      <c r="D291" s="194" t="s">
        <v>20</v>
      </c>
      <c r="E291" s="195"/>
      <c r="F291" s="108">
        <f>SUM(F267:F290)</f>
        <v>168</v>
      </c>
      <c r="G291" s="107"/>
      <c r="H291" s="185" t="s">
        <v>20</v>
      </c>
      <c r="I291" s="186"/>
      <c r="J291" s="108">
        <f>SUM(J267:J290)</f>
        <v>161</v>
      </c>
      <c r="K291" s="109"/>
      <c r="L291" s="115"/>
      <c r="M291" s="115"/>
      <c r="N291" s="115"/>
      <c r="O291" s="115"/>
    </row>
    <row r="292" spans="1:15" ht="24" thickBot="1" x14ac:dyDescent="0.4">
      <c r="A292" s="119"/>
      <c r="B292" s="110"/>
      <c r="C292" s="111"/>
      <c r="D292" s="187" t="s">
        <v>21</v>
      </c>
      <c r="E292" s="188"/>
      <c r="F292" s="112">
        <f>F291/240*1</f>
        <v>0.7</v>
      </c>
      <c r="G292" s="111"/>
      <c r="H292" s="189" t="s">
        <v>22</v>
      </c>
      <c r="I292" s="190"/>
      <c r="J292" s="113">
        <f>J291/240*1</f>
        <v>0.67083333333333328</v>
      </c>
      <c r="K292" s="114"/>
      <c r="L292" s="115"/>
      <c r="M292" s="115"/>
      <c r="N292" s="115"/>
      <c r="O292" s="115"/>
    </row>
    <row r="293" spans="1:15" ht="24" thickBot="1" x14ac:dyDescent="0.4">
      <c r="A293" s="120">
        <v>11</v>
      </c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</row>
    <row r="294" spans="1:15" ht="21" thickBot="1" x14ac:dyDescent="0.35">
      <c r="A294" s="244" t="s">
        <v>25</v>
      </c>
      <c r="B294" s="191" t="s">
        <v>0</v>
      </c>
      <c r="C294" s="192"/>
      <c r="D294" s="192"/>
      <c r="E294" s="192"/>
      <c r="F294" s="192"/>
      <c r="G294" s="192"/>
      <c r="H294" s="192"/>
      <c r="I294" s="192"/>
      <c r="J294" s="192"/>
      <c r="K294" s="193"/>
      <c r="L294" s="115"/>
      <c r="M294" s="115"/>
      <c r="N294" s="115"/>
      <c r="O294" s="115"/>
    </row>
    <row r="295" spans="1:15" ht="21" thickBot="1" x14ac:dyDescent="0.35">
      <c r="A295" s="245"/>
      <c r="B295" s="196" t="s">
        <v>17</v>
      </c>
      <c r="C295" s="197"/>
      <c r="D295" s="197"/>
      <c r="E295" s="197"/>
      <c r="F295" s="198"/>
      <c r="G295" s="199" t="s">
        <v>1</v>
      </c>
      <c r="H295" s="200"/>
      <c r="I295" s="200"/>
      <c r="J295" s="200"/>
      <c r="K295" s="201"/>
      <c r="L295" s="115"/>
      <c r="M295" s="115"/>
      <c r="N295" s="115"/>
      <c r="O295" s="115"/>
    </row>
    <row r="296" spans="1:15" ht="41.25" thickBot="1" x14ac:dyDescent="0.25">
      <c r="A296" s="246"/>
      <c r="B296" s="2" t="s">
        <v>2</v>
      </c>
      <c r="C296" s="3" t="s">
        <v>6</v>
      </c>
      <c r="D296" s="3" t="s">
        <v>7</v>
      </c>
      <c r="E296" s="3" t="s">
        <v>8</v>
      </c>
      <c r="F296" s="4" t="s">
        <v>19</v>
      </c>
      <c r="G296" s="5" t="s">
        <v>2</v>
      </c>
      <c r="H296" s="6" t="s">
        <v>3</v>
      </c>
      <c r="I296" s="6" t="s">
        <v>4</v>
      </c>
      <c r="J296" s="7" t="s">
        <v>18</v>
      </c>
      <c r="K296" s="8" t="s">
        <v>5</v>
      </c>
      <c r="L296" s="115"/>
      <c r="M296" s="115"/>
      <c r="N296" s="115"/>
      <c r="O296" s="115"/>
    </row>
    <row r="297" spans="1:15" ht="18" x14ac:dyDescent="0.2">
      <c r="A297" s="237">
        <v>45451</v>
      </c>
      <c r="B297" s="220" t="s">
        <v>9</v>
      </c>
      <c r="C297" s="9"/>
      <c r="D297" s="9" t="s">
        <v>7</v>
      </c>
      <c r="E297" s="10"/>
      <c r="F297" s="11">
        <v>7</v>
      </c>
      <c r="G297" s="223" t="s">
        <v>9</v>
      </c>
      <c r="H297" s="12"/>
      <c r="I297" s="12" t="s">
        <v>10</v>
      </c>
      <c r="J297" s="11">
        <v>7</v>
      </c>
      <c r="K297" s="13"/>
      <c r="L297" s="115"/>
      <c r="M297" s="115"/>
      <c r="N297" s="115"/>
      <c r="O297" s="115"/>
    </row>
    <row r="298" spans="1:15" ht="18" x14ac:dyDescent="0.2">
      <c r="A298" s="238"/>
      <c r="B298" s="221"/>
      <c r="C298" s="14"/>
      <c r="D298" s="9" t="s">
        <v>7</v>
      </c>
      <c r="E298" s="10"/>
      <c r="F298" s="11">
        <v>7</v>
      </c>
      <c r="G298" s="224"/>
      <c r="H298" s="15"/>
      <c r="I298" s="16" t="s">
        <v>10</v>
      </c>
      <c r="J298" s="11">
        <v>7</v>
      </c>
      <c r="K298" s="17"/>
      <c r="L298" s="115"/>
      <c r="M298" s="115"/>
      <c r="N298" s="115"/>
      <c r="O298" s="115"/>
    </row>
    <row r="299" spans="1:15" ht="18" x14ac:dyDescent="0.2">
      <c r="A299" s="238"/>
      <c r="B299" s="221"/>
      <c r="C299" s="14"/>
      <c r="D299" s="9" t="s">
        <v>7</v>
      </c>
      <c r="E299" s="10"/>
      <c r="F299" s="11">
        <v>7</v>
      </c>
      <c r="G299" s="224"/>
      <c r="H299" s="15"/>
      <c r="I299" s="16" t="s">
        <v>10</v>
      </c>
      <c r="J299" s="11">
        <v>7</v>
      </c>
      <c r="K299" s="17"/>
      <c r="L299" s="115"/>
      <c r="M299" s="115"/>
      <c r="N299" s="115"/>
      <c r="O299" s="115"/>
    </row>
    <row r="300" spans="1:15" ht="18.75" thickBot="1" x14ac:dyDescent="0.25">
      <c r="A300" s="238"/>
      <c r="B300" s="222"/>
      <c r="C300" s="18"/>
      <c r="D300" s="19" t="s">
        <v>7</v>
      </c>
      <c r="E300" s="20"/>
      <c r="F300" s="21">
        <v>7</v>
      </c>
      <c r="G300" s="225"/>
      <c r="H300" s="22"/>
      <c r="I300" s="23" t="s">
        <v>10</v>
      </c>
      <c r="J300" s="21">
        <v>7</v>
      </c>
      <c r="K300" s="24"/>
      <c r="L300" s="115"/>
      <c r="M300" s="115"/>
      <c r="N300" s="115"/>
      <c r="O300" s="115"/>
    </row>
    <row r="301" spans="1:15" ht="18" customHeight="1" x14ac:dyDescent="0.2">
      <c r="A301" s="237">
        <v>45452</v>
      </c>
      <c r="B301" s="226" t="s">
        <v>12</v>
      </c>
      <c r="C301" s="25"/>
      <c r="D301" s="25" t="s">
        <v>7</v>
      </c>
      <c r="E301" s="26"/>
      <c r="F301" s="27">
        <v>7</v>
      </c>
      <c r="G301" s="229" t="s">
        <v>12</v>
      </c>
      <c r="H301" s="28"/>
      <c r="I301" s="28" t="s">
        <v>10</v>
      </c>
      <c r="J301" s="27">
        <v>7</v>
      </c>
      <c r="K301" s="29"/>
      <c r="L301" s="115"/>
      <c r="M301" s="115"/>
      <c r="N301" s="115"/>
      <c r="O301" s="115"/>
    </row>
    <row r="302" spans="1:15" ht="18" customHeight="1" x14ac:dyDescent="0.2">
      <c r="A302" s="238"/>
      <c r="B302" s="227"/>
      <c r="C302" s="30"/>
      <c r="D302" s="31" t="s">
        <v>7</v>
      </c>
      <c r="E302" s="32"/>
      <c r="F302" s="33">
        <v>7</v>
      </c>
      <c r="G302" s="230"/>
      <c r="H302" s="34"/>
      <c r="I302" s="35" t="s">
        <v>10</v>
      </c>
      <c r="J302" s="33">
        <v>7</v>
      </c>
      <c r="K302" s="36"/>
      <c r="L302" s="115"/>
      <c r="M302" s="115"/>
      <c r="N302" s="115"/>
      <c r="O302" s="115"/>
    </row>
    <row r="303" spans="1:15" ht="18" customHeight="1" x14ac:dyDescent="0.2">
      <c r="A303" s="238"/>
      <c r="B303" s="227"/>
      <c r="C303" s="30"/>
      <c r="D303" s="31" t="s">
        <v>7</v>
      </c>
      <c r="E303" s="32"/>
      <c r="F303" s="33">
        <v>7</v>
      </c>
      <c r="G303" s="230"/>
      <c r="H303" s="34"/>
      <c r="I303" s="35" t="s">
        <v>10</v>
      </c>
      <c r="J303" s="33">
        <v>7</v>
      </c>
      <c r="K303" s="36"/>
      <c r="L303" s="115"/>
      <c r="M303" s="115"/>
      <c r="N303" s="115"/>
      <c r="O303" s="115"/>
    </row>
    <row r="304" spans="1:15" ht="18.75" customHeight="1" thickBot="1" x14ac:dyDescent="0.25">
      <c r="A304" s="238"/>
      <c r="B304" s="228"/>
      <c r="C304" s="37"/>
      <c r="D304" s="38" t="s">
        <v>7</v>
      </c>
      <c r="E304" s="39"/>
      <c r="F304" s="40">
        <v>7</v>
      </c>
      <c r="G304" s="231"/>
      <c r="H304" s="41"/>
      <c r="I304" s="42" t="s">
        <v>10</v>
      </c>
      <c r="J304" s="40">
        <v>7</v>
      </c>
      <c r="K304" s="43"/>
      <c r="L304" s="115"/>
      <c r="M304" s="115"/>
      <c r="N304" s="115"/>
      <c r="O304" s="115"/>
    </row>
    <row r="305" spans="1:15" ht="18" customHeight="1" x14ac:dyDescent="0.2">
      <c r="A305" s="237">
        <v>45453</v>
      </c>
      <c r="B305" s="232" t="s">
        <v>13</v>
      </c>
      <c r="C305" s="44"/>
      <c r="D305" s="44" t="s">
        <v>7</v>
      </c>
      <c r="E305" s="45"/>
      <c r="F305" s="46">
        <v>7</v>
      </c>
      <c r="G305" s="185" t="s">
        <v>13</v>
      </c>
      <c r="H305" s="47"/>
      <c r="I305" s="47" t="s">
        <v>10</v>
      </c>
      <c r="J305" s="46">
        <v>7</v>
      </c>
      <c r="K305" s="48"/>
      <c r="L305" s="115"/>
      <c r="M305" s="115"/>
      <c r="N305" s="115"/>
      <c r="O305" s="115"/>
    </row>
    <row r="306" spans="1:15" ht="18" customHeight="1" x14ac:dyDescent="0.2">
      <c r="A306" s="238"/>
      <c r="B306" s="233"/>
      <c r="C306" s="49"/>
      <c r="D306" s="44" t="s">
        <v>7</v>
      </c>
      <c r="E306" s="45"/>
      <c r="F306" s="46">
        <v>7</v>
      </c>
      <c r="G306" s="235"/>
      <c r="H306" s="50"/>
      <c r="I306" s="51" t="s">
        <v>10</v>
      </c>
      <c r="J306" s="46">
        <v>7</v>
      </c>
      <c r="K306" s="52"/>
      <c r="L306" s="115"/>
      <c r="M306" s="115"/>
      <c r="N306" s="115"/>
      <c r="O306" s="115"/>
    </row>
    <row r="307" spans="1:15" ht="18" customHeight="1" x14ac:dyDescent="0.2">
      <c r="A307" s="238"/>
      <c r="B307" s="233"/>
      <c r="C307" s="49"/>
      <c r="D307" s="44" t="s">
        <v>7</v>
      </c>
      <c r="E307" s="45"/>
      <c r="F307" s="46">
        <v>7</v>
      </c>
      <c r="G307" s="235"/>
      <c r="H307" s="50"/>
      <c r="I307" s="51" t="s">
        <v>10</v>
      </c>
      <c r="J307" s="46">
        <v>7</v>
      </c>
      <c r="K307" s="52"/>
      <c r="L307" s="115"/>
      <c r="M307" s="115"/>
      <c r="N307" s="115"/>
      <c r="O307" s="115"/>
    </row>
    <row r="308" spans="1:15" ht="18.75" customHeight="1" thickBot="1" x14ac:dyDescent="0.25">
      <c r="A308" s="238"/>
      <c r="B308" s="234"/>
      <c r="C308" s="53"/>
      <c r="D308" s="54" t="s">
        <v>7</v>
      </c>
      <c r="E308" s="55"/>
      <c r="F308" s="56">
        <v>7</v>
      </c>
      <c r="G308" s="236"/>
      <c r="H308" s="57"/>
      <c r="I308" s="58" t="s">
        <v>10</v>
      </c>
      <c r="J308" s="56">
        <v>7</v>
      </c>
      <c r="K308" s="59"/>
      <c r="L308" s="115"/>
      <c r="M308" s="115"/>
      <c r="N308" s="115"/>
      <c r="O308" s="115"/>
    </row>
    <row r="309" spans="1:15" ht="18" customHeight="1" x14ac:dyDescent="0.2">
      <c r="A309" s="237">
        <v>45454</v>
      </c>
      <c r="B309" s="202" t="s">
        <v>14</v>
      </c>
      <c r="C309" s="60"/>
      <c r="D309" s="60" t="s">
        <v>7</v>
      </c>
      <c r="E309" s="61"/>
      <c r="F309" s="62">
        <v>7</v>
      </c>
      <c r="G309" s="205" t="s">
        <v>14</v>
      </c>
      <c r="H309" s="44"/>
      <c r="I309" s="44" t="s">
        <v>10</v>
      </c>
      <c r="J309" s="62">
        <v>7</v>
      </c>
      <c r="K309" s="45"/>
      <c r="L309" s="115"/>
      <c r="M309" s="115"/>
      <c r="N309" s="115"/>
      <c r="O309" s="115"/>
    </row>
    <row r="310" spans="1:15" ht="18" customHeight="1" x14ac:dyDescent="0.2">
      <c r="A310" s="238"/>
      <c r="B310" s="203"/>
      <c r="C310" s="63"/>
      <c r="D310" s="64" t="s">
        <v>7</v>
      </c>
      <c r="E310" s="65"/>
      <c r="F310" s="66">
        <v>7</v>
      </c>
      <c r="G310" s="206"/>
      <c r="H310" s="49"/>
      <c r="I310" s="44" t="s">
        <v>10</v>
      </c>
      <c r="J310" s="66">
        <v>7</v>
      </c>
      <c r="K310" s="67"/>
      <c r="L310" s="115"/>
      <c r="M310" s="115"/>
      <c r="N310" s="115"/>
      <c r="O310" s="115"/>
    </row>
    <row r="311" spans="1:15" ht="18" customHeight="1" x14ac:dyDescent="0.2">
      <c r="A311" s="238"/>
      <c r="B311" s="203"/>
      <c r="C311" s="63"/>
      <c r="D311" s="64" t="s">
        <v>7</v>
      </c>
      <c r="E311" s="65"/>
      <c r="F311" s="66">
        <v>7</v>
      </c>
      <c r="G311" s="206"/>
      <c r="H311" s="49"/>
      <c r="I311" s="44" t="s">
        <v>10</v>
      </c>
      <c r="J311" s="66">
        <v>7</v>
      </c>
      <c r="K311" s="67"/>
      <c r="L311" s="115"/>
      <c r="M311" s="115"/>
      <c r="N311" s="115"/>
      <c r="O311" s="115"/>
    </row>
    <row r="312" spans="1:15" ht="18.75" customHeight="1" thickBot="1" x14ac:dyDescent="0.25">
      <c r="A312" s="238"/>
      <c r="B312" s="204"/>
      <c r="C312" s="68"/>
      <c r="D312" s="69" t="s">
        <v>7</v>
      </c>
      <c r="E312" s="70"/>
      <c r="F312" s="71">
        <v>7</v>
      </c>
      <c r="G312" s="207"/>
      <c r="H312" s="53"/>
      <c r="I312" s="54" t="s">
        <v>10</v>
      </c>
      <c r="J312" s="71">
        <v>7</v>
      </c>
      <c r="K312" s="72"/>
      <c r="L312" s="115"/>
      <c r="M312" s="115"/>
      <c r="N312" s="115"/>
      <c r="O312" s="115"/>
    </row>
    <row r="313" spans="1:15" ht="18" customHeight="1" x14ac:dyDescent="0.2">
      <c r="A313" s="237">
        <v>45455</v>
      </c>
      <c r="B313" s="208" t="s">
        <v>15</v>
      </c>
      <c r="C313" s="16"/>
      <c r="D313" s="16" t="s">
        <v>7</v>
      </c>
      <c r="E313" s="73"/>
      <c r="F313" s="74">
        <v>7</v>
      </c>
      <c r="G313" s="211" t="s">
        <v>15</v>
      </c>
      <c r="H313" s="75"/>
      <c r="I313" s="75" t="s">
        <v>10</v>
      </c>
      <c r="J313" s="74">
        <v>7</v>
      </c>
      <c r="K313" s="76"/>
      <c r="L313" s="115"/>
      <c r="M313" s="115"/>
      <c r="N313" s="115"/>
      <c r="O313" s="115"/>
    </row>
    <row r="314" spans="1:15" ht="18" customHeight="1" x14ac:dyDescent="0.2">
      <c r="A314" s="238"/>
      <c r="B314" s="209"/>
      <c r="C314" s="15"/>
      <c r="D314" s="16" t="s">
        <v>7</v>
      </c>
      <c r="E314" s="73"/>
      <c r="F314" s="74">
        <v>7</v>
      </c>
      <c r="G314" s="212"/>
      <c r="H314" s="77"/>
      <c r="I314" s="78" t="s">
        <v>10</v>
      </c>
      <c r="J314" s="74">
        <v>7</v>
      </c>
      <c r="K314" s="79"/>
      <c r="L314" s="115"/>
      <c r="M314" s="115"/>
      <c r="N314" s="115"/>
      <c r="O314" s="115"/>
    </row>
    <row r="315" spans="1:15" ht="18" customHeight="1" x14ac:dyDescent="0.2">
      <c r="A315" s="238"/>
      <c r="B315" s="209"/>
      <c r="C315" s="15"/>
      <c r="D315" s="16" t="s">
        <v>7</v>
      </c>
      <c r="E315" s="73"/>
      <c r="F315" s="74">
        <v>7</v>
      </c>
      <c r="G315" s="212"/>
      <c r="H315" s="77"/>
      <c r="I315" s="78" t="s">
        <v>10</v>
      </c>
      <c r="J315" s="74">
        <v>7</v>
      </c>
      <c r="K315" s="79"/>
      <c r="L315" s="115"/>
      <c r="M315" s="115"/>
      <c r="N315" s="115"/>
      <c r="O315" s="115"/>
    </row>
    <row r="316" spans="1:15" ht="18.75" customHeight="1" thickBot="1" x14ac:dyDescent="0.25">
      <c r="A316" s="238"/>
      <c r="B316" s="210"/>
      <c r="C316" s="80"/>
      <c r="D316" s="81" t="s">
        <v>7</v>
      </c>
      <c r="E316" s="82"/>
      <c r="F316" s="83">
        <v>7</v>
      </c>
      <c r="G316" s="213"/>
      <c r="H316" s="84"/>
      <c r="I316" s="85" t="s">
        <v>10</v>
      </c>
      <c r="J316" s="83">
        <v>7</v>
      </c>
      <c r="K316" s="86"/>
      <c r="L316" s="115"/>
      <c r="M316" s="115"/>
      <c r="N316" s="115"/>
      <c r="O316" s="115"/>
    </row>
    <row r="317" spans="1:15" ht="18" customHeight="1" x14ac:dyDescent="0.2">
      <c r="A317" s="237">
        <v>45456</v>
      </c>
      <c r="B317" s="214" t="s">
        <v>16</v>
      </c>
      <c r="C317" s="87"/>
      <c r="D317" s="87" t="s">
        <v>7</v>
      </c>
      <c r="E317" s="88"/>
      <c r="F317" s="89">
        <v>7</v>
      </c>
      <c r="G317" s="217" t="s">
        <v>16</v>
      </c>
      <c r="H317" s="90"/>
      <c r="I317" s="90" t="s">
        <v>10</v>
      </c>
      <c r="J317" s="89">
        <v>0</v>
      </c>
      <c r="K317" s="91"/>
      <c r="L317" s="115"/>
      <c r="M317" s="115"/>
      <c r="N317" s="115"/>
      <c r="O317" s="115"/>
    </row>
    <row r="318" spans="1:15" ht="18" customHeight="1" x14ac:dyDescent="0.2">
      <c r="A318" s="238"/>
      <c r="B318" s="215"/>
      <c r="C318" s="92"/>
      <c r="D318" s="93" t="s">
        <v>7</v>
      </c>
      <c r="E318" s="94"/>
      <c r="F318" s="95">
        <v>7</v>
      </c>
      <c r="G318" s="218"/>
      <c r="H318" s="96"/>
      <c r="I318" s="97" t="s">
        <v>10</v>
      </c>
      <c r="J318" s="95">
        <v>7</v>
      </c>
      <c r="K318" s="98"/>
      <c r="L318" s="115"/>
      <c r="M318" s="115"/>
      <c r="N318" s="115"/>
      <c r="O318" s="115"/>
    </row>
    <row r="319" spans="1:15" ht="18" customHeight="1" x14ac:dyDescent="0.2">
      <c r="A319" s="238"/>
      <c r="B319" s="215"/>
      <c r="C319" s="92"/>
      <c r="D319" s="93" t="s">
        <v>7</v>
      </c>
      <c r="E319" s="94"/>
      <c r="F319" s="95">
        <v>7</v>
      </c>
      <c r="G319" s="218"/>
      <c r="H319" s="96"/>
      <c r="I319" s="97" t="s">
        <v>10</v>
      </c>
      <c r="J319" s="95">
        <v>7</v>
      </c>
      <c r="K319" s="98"/>
      <c r="L319" s="115"/>
      <c r="M319" s="115"/>
      <c r="N319" s="115"/>
      <c r="O319" s="115"/>
    </row>
    <row r="320" spans="1:15" ht="18.75" customHeight="1" thickBot="1" x14ac:dyDescent="0.25">
      <c r="A320" s="238"/>
      <c r="B320" s="216"/>
      <c r="C320" s="99"/>
      <c r="D320" s="100" t="s">
        <v>7</v>
      </c>
      <c r="E320" s="101"/>
      <c r="F320" s="102">
        <v>7</v>
      </c>
      <c r="G320" s="219"/>
      <c r="H320" s="103"/>
      <c r="I320" s="104" t="s">
        <v>10</v>
      </c>
      <c r="J320" s="102">
        <v>7</v>
      </c>
      <c r="K320" s="105"/>
      <c r="L320" s="115"/>
      <c r="M320" s="115"/>
      <c r="N320" s="115"/>
      <c r="O320" s="115"/>
    </row>
    <row r="321" spans="1:15" ht="23.25" x14ac:dyDescent="0.35">
      <c r="A321" s="118"/>
      <c r="B321" s="106"/>
      <c r="C321" s="107"/>
      <c r="D321" s="194" t="s">
        <v>20</v>
      </c>
      <c r="E321" s="195"/>
      <c r="F321" s="108">
        <f>SUM(F297:F320)</f>
        <v>168</v>
      </c>
      <c r="G321" s="107"/>
      <c r="H321" s="185" t="s">
        <v>20</v>
      </c>
      <c r="I321" s="186"/>
      <c r="J321" s="108">
        <f>SUM(J297:J320)</f>
        <v>161</v>
      </c>
      <c r="K321" s="109"/>
      <c r="L321" s="115"/>
      <c r="M321" s="115"/>
      <c r="N321" s="115"/>
      <c r="O321" s="115"/>
    </row>
    <row r="322" spans="1:15" ht="24" thickBot="1" x14ac:dyDescent="0.4">
      <c r="A322" s="119"/>
      <c r="B322" s="110"/>
      <c r="C322" s="111"/>
      <c r="D322" s="187" t="s">
        <v>21</v>
      </c>
      <c r="E322" s="188"/>
      <c r="F322" s="112">
        <f>F321/240*1</f>
        <v>0.7</v>
      </c>
      <c r="G322" s="111"/>
      <c r="H322" s="189" t="s">
        <v>22</v>
      </c>
      <c r="I322" s="190"/>
      <c r="J322" s="113">
        <f>J321/240*1</f>
        <v>0.67083333333333328</v>
      </c>
      <c r="K322" s="114"/>
      <c r="L322" s="115"/>
      <c r="M322" s="115"/>
      <c r="N322" s="115"/>
      <c r="O322" s="115"/>
    </row>
    <row r="323" spans="1:15" ht="24" thickBot="1" x14ac:dyDescent="0.4">
      <c r="A323" s="120">
        <v>12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</row>
    <row r="324" spans="1:15" ht="21" thickBot="1" x14ac:dyDescent="0.35">
      <c r="A324" s="244" t="s">
        <v>25</v>
      </c>
      <c r="B324" s="191" t="s">
        <v>0</v>
      </c>
      <c r="C324" s="192"/>
      <c r="D324" s="192"/>
      <c r="E324" s="192"/>
      <c r="F324" s="192"/>
      <c r="G324" s="192"/>
      <c r="H324" s="192"/>
      <c r="I324" s="192"/>
      <c r="J324" s="192"/>
      <c r="K324" s="193"/>
      <c r="L324" s="115"/>
      <c r="M324" s="115"/>
      <c r="N324" s="115"/>
      <c r="O324" s="115"/>
    </row>
    <row r="325" spans="1:15" ht="21" thickBot="1" x14ac:dyDescent="0.35">
      <c r="A325" s="245"/>
      <c r="B325" s="196" t="s">
        <v>17</v>
      </c>
      <c r="C325" s="197"/>
      <c r="D325" s="197"/>
      <c r="E325" s="197"/>
      <c r="F325" s="198"/>
      <c r="G325" s="199" t="s">
        <v>1</v>
      </c>
      <c r="H325" s="200"/>
      <c r="I325" s="200"/>
      <c r="J325" s="200"/>
      <c r="K325" s="201"/>
      <c r="L325" s="115"/>
      <c r="M325" s="115"/>
      <c r="N325" s="115"/>
      <c r="O325" s="115"/>
    </row>
    <row r="326" spans="1:15" ht="41.25" thickBot="1" x14ac:dyDescent="0.25">
      <c r="A326" s="246"/>
      <c r="B326" s="2" t="s">
        <v>2</v>
      </c>
      <c r="C326" s="3" t="s">
        <v>6</v>
      </c>
      <c r="D326" s="3" t="s">
        <v>7</v>
      </c>
      <c r="E326" s="3" t="s">
        <v>8</v>
      </c>
      <c r="F326" s="4" t="s">
        <v>19</v>
      </c>
      <c r="G326" s="5" t="s">
        <v>2</v>
      </c>
      <c r="H326" s="6" t="s">
        <v>3</v>
      </c>
      <c r="I326" s="6" t="s">
        <v>4</v>
      </c>
      <c r="J326" s="7" t="s">
        <v>18</v>
      </c>
      <c r="K326" s="8" t="s">
        <v>5</v>
      </c>
      <c r="L326" s="115"/>
      <c r="M326" s="115"/>
      <c r="N326" s="115"/>
      <c r="O326" s="115"/>
    </row>
    <row r="327" spans="1:15" ht="18" x14ac:dyDescent="0.2">
      <c r="A327" s="237">
        <v>45458</v>
      </c>
      <c r="B327" s="220" t="s">
        <v>9</v>
      </c>
      <c r="C327" s="9"/>
      <c r="D327" s="9" t="s">
        <v>7</v>
      </c>
      <c r="E327" s="10"/>
      <c r="F327" s="11">
        <v>7</v>
      </c>
      <c r="G327" s="223" t="s">
        <v>9</v>
      </c>
      <c r="H327" s="12"/>
      <c r="I327" s="12" t="s">
        <v>10</v>
      </c>
      <c r="J327" s="11">
        <v>7</v>
      </c>
      <c r="K327" s="13"/>
      <c r="L327" s="115"/>
      <c r="M327" s="115"/>
      <c r="N327" s="115"/>
      <c r="O327" s="115"/>
    </row>
    <row r="328" spans="1:15" ht="18" x14ac:dyDescent="0.2">
      <c r="A328" s="238"/>
      <c r="B328" s="221"/>
      <c r="C328" s="14"/>
      <c r="D328" s="9" t="s">
        <v>7</v>
      </c>
      <c r="E328" s="10"/>
      <c r="F328" s="11">
        <v>7</v>
      </c>
      <c r="G328" s="224"/>
      <c r="H328" s="15"/>
      <c r="I328" s="16" t="s">
        <v>10</v>
      </c>
      <c r="J328" s="11">
        <v>7</v>
      </c>
      <c r="K328" s="17"/>
      <c r="L328" s="115"/>
      <c r="M328" s="115"/>
      <c r="N328" s="115"/>
      <c r="O328" s="115"/>
    </row>
    <row r="329" spans="1:15" ht="18" x14ac:dyDescent="0.2">
      <c r="A329" s="238"/>
      <c r="B329" s="221"/>
      <c r="C329" s="14"/>
      <c r="D329" s="9" t="s">
        <v>7</v>
      </c>
      <c r="E329" s="10"/>
      <c r="F329" s="11">
        <v>7</v>
      </c>
      <c r="G329" s="224"/>
      <c r="H329" s="15"/>
      <c r="I329" s="16" t="s">
        <v>10</v>
      </c>
      <c r="J329" s="11">
        <v>7</v>
      </c>
      <c r="K329" s="17"/>
      <c r="L329" s="115"/>
      <c r="M329" s="115"/>
      <c r="N329" s="115"/>
      <c r="O329" s="115"/>
    </row>
    <row r="330" spans="1:15" ht="18.75" thickBot="1" x14ac:dyDescent="0.25">
      <c r="A330" s="238"/>
      <c r="B330" s="222"/>
      <c r="C330" s="18"/>
      <c r="D330" s="19" t="s">
        <v>7</v>
      </c>
      <c r="E330" s="20"/>
      <c r="F330" s="21">
        <v>7</v>
      </c>
      <c r="G330" s="225"/>
      <c r="H330" s="22"/>
      <c r="I330" s="23" t="s">
        <v>10</v>
      </c>
      <c r="J330" s="21">
        <v>7</v>
      </c>
      <c r="K330" s="24"/>
      <c r="L330" s="115"/>
      <c r="M330" s="115"/>
      <c r="N330" s="115"/>
      <c r="O330" s="115"/>
    </row>
    <row r="331" spans="1:15" ht="18" customHeight="1" x14ac:dyDescent="0.2">
      <c r="A331" s="237">
        <v>45459</v>
      </c>
      <c r="B331" s="226" t="s">
        <v>12</v>
      </c>
      <c r="C331" s="25"/>
      <c r="D331" s="25" t="s">
        <v>7</v>
      </c>
      <c r="E331" s="26"/>
      <c r="F331" s="27">
        <v>7</v>
      </c>
      <c r="G331" s="229" t="s">
        <v>12</v>
      </c>
      <c r="H331" s="28"/>
      <c r="I331" s="28" t="s">
        <v>10</v>
      </c>
      <c r="J331" s="27">
        <v>7</v>
      </c>
      <c r="K331" s="29"/>
      <c r="L331" s="115"/>
      <c r="M331" s="115"/>
      <c r="N331" s="115"/>
      <c r="O331" s="115"/>
    </row>
    <row r="332" spans="1:15" ht="18" customHeight="1" x14ac:dyDescent="0.2">
      <c r="A332" s="238"/>
      <c r="B332" s="227"/>
      <c r="C332" s="30"/>
      <c r="D332" s="31" t="s">
        <v>7</v>
      </c>
      <c r="E332" s="32"/>
      <c r="F332" s="33">
        <v>7</v>
      </c>
      <c r="G332" s="230"/>
      <c r="H332" s="34"/>
      <c r="I332" s="35" t="s">
        <v>10</v>
      </c>
      <c r="J332" s="33">
        <v>7</v>
      </c>
      <c r="K332" s="36"/>
      <c r="L332" s="115"/>
      <c r="M332" s="115"/>
      <c r="N332" s="115"/>
      <c r="O332" s="115"/>
    </row>
    <row r="333" spans="1:15" ht="18" customHeight="1" x14ac:dyDescent="0.2">
      <c r="A333" s="238"/>
      <c r="B333" s="227"/>
      <c r="C333" s="30"/>
      <c r="D333" s="31" t="s">
        <v>7</v>
      </c>
      <c r="E333" s="32"/>
      <c r="F333" s="33">
        <v>7</v>
      </c>
      <c r="G333" s="230"/>
      <c r="H333" s="34"/>
      <c r="I333" s="35" t="s">
        <v>10</v>
      </c>
      <c r="J333" s="33">
        <v>7</v>
      </c>
      <c r="K333" s="36"/>
      <c r="L333" s="115"/>
      <c r="M333" s="115"/>
      <c r="N333" s="115"/>
      <c r="O333" s="115"/>
    </row>
    <row r="334" spans="1:15" ht="18.75" customHeight="1" thickBot="1" x14ac:dyDescent="0.25">
      <c r="A334" s="238"/>
      <c r="B334" s="228"/>
      <c r="C334" s="37"/>
      <c r="D334" s="38" t="s">
        <v>7</v>
      </c>
      <c r="E334" s="39"/>
      <c r="F334" s="40">
        <v>7</v>
      </c>
      <c r="G334" s="231"/>
      <c r="H334" s="41"/>
      <c r="I334" s="42" t="s">
        <v>10</v>
      </c>
      <c r="J334" s="40">
        <v>7</v>
      </c>
      <c r="K334" s="43"/>
      <c r="L334" s="115"/>
      <c r="M334" s="115"/>
      <c r="N334" s="115"/>
      <c r="O334" s="115"/>
    </row>
    <row r="335" spans="1:15" ht="18" customHeight="1" x14ac:dyDescent="0.2">
      <c r="A335" s="237">
        <v>45460</v>
      </c>
      <c r="B335" s="232" t="s">
        <v>13</v>
      </c>
      <c r="C335" s="44"/>
      <c r="D335" s="44" t="s">
        <v>7</v>
      </c>
      <c r="E335" s="45"/>
      <c r="F335" s="46">
        <v>7</v>
      </c>
      <c r="G335" s="185" t="s">
        <v>13</v>
      </c>
      <c r="H335" s="47"/>
      <c r="I335" s="47" t="s">
        <v>10</v>
      </c>
      <c r="J335" s="46">
        <v>7</v>
      </c>
      <c r="K335" s="48"/>
      <c r="L335" s="115"/>
      <c r="M335" s="115"/>
      <c r="N335" s="115"/>
      <c r="O335" s="115"/>
    </row>
    <row r="336" spans="1:15" ht="18" customHeight="1" x14ac:dyDescent="0.2">
      <c r="A336" s="238"/>
      <c r="B336" s="233"/>
      <c r="C336" s="49"/>
      <c r="D336" s="44" t="s">
        <v>7</v>
      </c>
      <c r="E336" s="45"/>
      <c r="F336" s="46">
        <v>7</v>
      </c>
      <c r="G336" s="235"/>
      <c r="H336" s="50"/>
      <c r="I336" s="51" t="s">
        <v>10</v>
      </c>
      <c r="J336" s="46">
        <v>7</v>
      </c>
      <c r="K336" s="52"/>
      <c r="L336" s="115"/>
      <c r="M336" s="115"/>
      <c r="N336" s="115"/>
      <c r="O336" s="115"/>
    </row>
    <row r="337" spans="1:15" ht="18" customHeight="1" x14ac:dyDescent="0.2">
      <c r="A337" s="238"/>
      <c r="B337" s="233"/>
      <c r="C337" s="49"/>
      <c r="D337" s="44" t="s">
        <v>7</v>
      </c>
      <c r="E337" s="45"/>
      <c r="F337" s="46">
        <v>7</v>
      </c>
      <c r="G337" s="235"/>
      <c r="H337" s="50"/>
      <c r="I337" s="51" t="s">
        <v>10</v>
      </c>
      <c r="J337" s="46">
        <v>7</v>
      </c>
      <c r="K337" s="52"/>
      <c r="L337" s="115"/>
      <c r="M337" s="115"/>
      <c r="N337" s="115"/>
      <c r="O337" s="115"/>
    </row>
    <row r="338" spans="1:15" ht="18.75" customHeight="1" thickBot="1" x14ac:dyDescent="0.25">
      <c r="A338" s="238"/>
      <c r="B338" s="234"/>
      <c r="C338" s="53"/>
      <c r="D338" s="54" t="s">
        <v>7</v>
      </c>
      <c r="E338" s="55"/>
      <c r="F338" s="56">
        <v>7</v>
      </c>
      <c r="G338" s="236"/>
      <c r="H338" s="57"/>
      <c r="I338" s="58" t="s">
        <v>10</v>
      </c>
      <c r="J338" s="56">
        <v>7</v>
      </c>
      <c r="K338" s="59"/>
      <c r="L338" s="115"/>
      <c r="M338" s="115"/>
      <c r="N338" s="115"/>
      <c r="O338" s="115"/>
    </row>
    <row r="339" spans="1:15" ht="18" customHeight="1" x14ac:dyDescent="0.2">
      <c r="A339" s="237">
        <v>45461</v>
      </c>
      <c r="B339" s="202" t="s">
        <v>14</v>
      </c>
      <c r="C339" s="60"/>
      <c r="D339" s="60" t="s">
        <v>7</v>
      </c>
      <c r="E339" s="61"/>
      <c r="F339" s="62">
        <v>7</v>
      </c>
      <c r="G339" s="205" t="s">
        <v>14</v>
      </c>
      <c r="H339" s="44"/>
      <c r="I339" s="44" t="s">
        <v>10</v>
      </c>
      <c r="J339" s="62">
        <v>7</v>
      </c>
      <c r="K339" s="45"/>
      <c r="L339" s="115"/>
      <c r="M339" s="115"/>
      <c r="N339" s="115"/>
      <c r="O339" s="115"/>
    </row>
    <row r="340" spans="1:15" ht="18" customHeight="1" x14ac:dyDescent="0.2">
      <c r="A340" s="238"/>
      <c r="B340" s="203"/>
      <c r="C340" s="63"/>
      <c r="D340" s="64" t="s">
        <v>7</v>
      </c>
      <c r="E340" s="65"/>
      <c r="F340" s="66">
        <v>7</v>
      </c>
      <c r="G340" s="206"/>
      <c r="H340" s="49"/>
      <c r="I340" s="44" t="s">
        <v>10</v>
      </c>
      <c r="J340" s="66">
        <v>7</v>
      </c>
      <c r="K340" s="67"/>
      <c r="L340" s="115"/>
      <c r="M340" s="115"/>
      <c r="N340" s="115"/>
      <c r="O340" s="115"/>
    </row>
    <row r="341" spans="1:15" ht="18" customHeight="1" x14ac:dyDescent="0.2">
      <c r="A341" s="238"/>
      <c r="B341" s="203"/>
      <c r="C341" s="63"/>
      <c r="D341" s="64" t="s">
        <v>7</v>
      </c>
      <c r="E341" s="65"/>
      <c r="F341" s="66">
        <v>7</v>
      </c>
      <c r="G341" s="206"/>
      <c r="H341" s="49"/>
      <c r="I341" s="44" t="s">
        <v>10</v>
      </c>
      <c r="J341" s="66">
        <v>7</v>
      </c>
      <c r="K341" s="67"/>
      <c r="L341" s="115"/>
      <c r="M341" s="115"/>
      <c r="N341" s="115"/>
      <c r="O341" s="115"/>
    </row>
    <row r="342" spans="1:15" ht="18.75" customHeight="1" thickBot="1" x14ac:dyDescent="0.25">
      <c r="A342" s="238"/>
      <c r="B342" s="204"/>
      <c r="C342" s="68"/>
      <c r="D342" s="69" t="s">
        <v>7</v>
      </c>
      <c r="E342" s="70"/>
      <c r="F342" s="71">
        <v>7</v>
      </c>
      <c r="G342" s="207"/>
      <c r="H342" s="53"/>
      <c r="I342" s="54" t="s">
        <v>10</v>
      </c>
      <c r="J342" s="71">
        <v>7</v>
      </c>
      <c r="K342" s="72"/>
      <c r="L342" s="115"/>
      <c r="M342" s="115"/>
      <c r="N342" s="115"/>
      <c r="O342" s="115"/>
    </row>
    <row r="343" spans="1:15" ht="18" customHeight="1" x14ac:dyDescent="0.2">
      <c r="A343" s="237">
        <v>45462</v>
      </c>
      <c r="B343" s="208" t="s">
        <v>15</v>
      </c>
      <c r="C343" s="16"/>
      <c r="D343" s="16" t="s">
        <v>7</v>
      </c>
      <c r="E343" s="73"/>
      <c r="F343" s="74">
        <v>7</v>
      </c>
      <c r="G343" s="211" t="s">
        <v>15</v>
      </c>
      <c r="H343" s="75"/>
      <c r="I343" s="75" t="s">
        <v>10</v>
      </c>
      <c r="J343" s="74">
        <v>7</v>
      </c>
      <c r="K343" s="76"/>
      <c r="L343" s="115"/>
      <c r="M343" s="115"/>
      <c r="N343" s="115"/>
      <c r="O343" s="115"/>
    </row>
    <row r="344" spans="1:15" ht="18" customHeight="1" x14ac:dyDescent="0.2">
      <c r="A344" s="238"/>
      <c r="B344" s="209"/>
      <c r="C344" s="15"/>
      <c r="D344" s="16" t="s">
        <v>7</v>
      </c>
      <c r="E344" s="73"/>
      <c r="F344" s="74">
        <v>7</v>
      </c>
      <c r="G344" s="212"/>
      <c r="H344" s="77"/>
      <c r="I344" s="78" t="s">
        <v>10</v>
      </c>
      <c r="J344" s="74">
        <v>7</v>
      </c>
      <c r="K344" s="79"/>
      <c r="L344" s="115"/>
      <c r="M344" s="115"/>
      <c r="N344" s="115"/>
      <c r="O344" s="115"/>
    </row>
    <row r="345" spans="1:15" ht="18" customHeight="1" x14ac:dyDescent="0.2">
      <c r="A345" s="238"/>
      <c r="B345" s="209"/>
      <c r="C345" s="15"/>
      <c r="D345" s="16" t="s">
        <v>7</v>
      </c>
      <c r="E345" s="73"/>
      <c r="F345" s="74">
        <v>7</v>
      </c>
      <c r="G345" s="212"/>
      <c r="H345" s="77"/>
      <c r="I345" s="78" t="s">
        <v>10</v>
      </c>
      <c r="J345" s="74">
        <v>7</v>
      </c>
      <c r="K345" s="79"/>
      <c r="L345" s="115"/>
      <c r="M345" s="115"/>
      <c r="N345" s="115"/>
      <c r="O345" s="115"/>
    </row>
    <row r="346" spans="1:15" ht="18.75" customHeight="1" thickBot="1" x14ac:dyDescent="0.25">
      <c r="A346" s="238"/>
      <c r="B346" s="210"/>
      <c r="C346" s="80"/>
      <c r="D346" s="81" t="s">
        <v>7</v>
      </c>
      <c r="E346" s="82"/>
      <c r="F346" s="83">
        <v>7</v>
      </c>
      <c r="G346" s="213"/>
      <c r="H346" s="84"/>
      <c r="I346" s="85" t="s">
        <v>10</v>
      </c>
      <c r="J346" s="83">
        <v>7</v>
      </c>
      <c r="K346" s="86"/>
      <c r="L346" s="115"/>
      <c r="M346" s="115"/>
      <c r="N346" s="115"/>
      <c r="O346" s="115"/>
    </row>
    <row r="347" spans="1:15" ht="18" customHeight="1" x14ac:dyDescent="0.2">
      <c r="A347" s="237">
        <v>45463</v>
      </c>
      <c r="B347" s="214" t="s">
        <v>16</v>
      </c>
      <c r="C347" s="87"/>
      <c r="D347" s="87" t="s">
        <v>7</v>
      </c>
      <c r="E347" s="88"/>
      <c r="F347" s="89">
        <v>7</v>
      </c>
      <c r="G347" s="217" t="s">
        <v>16</v>
      </c>
      <c r="H347" s="90"/>
      <c r="I347" s="90" t="s">
        <v>10</v>
      </c>
      <c r="J347" s="89">
        <v>0</v>
      </c>
      <c r="K347" s="91"/>
      <c r="L347" s="115"/>
      <c r="M347" s="115"/>
      <c r="N347" s="115"/>
      <c r="O347" s="115"/>
    </row>
    <row r="348" spans="1:15" ht="18" customHeight="1" x14ac:dyDescent="0.2">
      <c r="A348" s="238"/>
      <c r="B348" s="215"/>
      <c r="C348" s="92"/>
      <c r="D348" s="93" t="s">
        <v>7</v>
      </c>
      <c r="E348" s="94"/>
      <c r="F348" s="95">
        <v>7</v>
      </c>
      <c r="G348" s="218"/>
      <c r="H348" s="96"/>
      <c r="I348" s="97" t="s">
        <v>10</v>
      </c>
      <c r="J348" s="95">
        <v>7</v>
      </c>
      <c r="K348" s="98"/>
      <c r="L348" s="115"/>
      <c r="M348" s="115"/>
      <c r="N348" s="115"/>
      <c r="O348" s="115"/>
    </row>
    <row r="349" spans="1:15" ht="18" customHeight="1" x14ac:dyDescent="0.2">
      <c r="A349" s="238"/>
      <c r="B349" s="215"/>
      <c r="C349" s="92"/>
      <c r="D349" s="93" t="s">
        <v>7</v>
      </c>
      <c r="E349" s="94"/>
      <c r="F349" s="95">
        <v>7</v>
      </c>
      <c r="G349" s="218"/>
      <c r="H349" s="96"/>
      <c r="I349" s="97" t="s">
        <v>10</v>
      </c>
      <c r="J349" s="95">
        <v>7</v>
      </c>
      <c r="K349" s="98"/>
      <c r="L349" s="115"/>
      <c r="M349" s="115"/>
      <c r="N349" s="115"/>
      <c r="O349" s="115"/>
    </row>
    <row r="350" spans="1:15" ht="18.75" customHeight="1" thickBot="1" x14ac:dyDescent="0.25">
      <c r="A350" s="238"/>
      <c r="B350" s="216"/>
      <c r="C350" s="99"/>
      <c r="D350" s="100" t="s">
        <v>7</v>
      </c>
      <c r="E350" s="101"/>
      <c r="F350" s="102">
        <v>7</v>
      </c>
      <c r="G350" s="219"/>
      <c r="H350" s="103"/>
      <c r="I350" s="104" t="s">
        <v>10</v>
      </c>
      <c r="J350" s="102">
        <v>7</v>
      </c>
      <c r="K350" s="105"/>
      <c r="L350" s="115"/>
      <c r="M350" s="115"/>
      <c r="N350" s="115"/>
      <c r="O350" s="115"/>
    </row>
    <row r="351" spans="1:15" ht="23.25" x14ac:dyDescent="0.35">
      <c r="A351" s="118"/>
      <c r="B351" s="106"/>
      <c r="C351" s="107"/>
      <c r="D351" s="194" t="s">
        <v>20</v>
      </c>
      <c r="E351" s="195"/>
      <c r="F351" s="108">
        <f>SUM(F327:F350)</f>
        <v>168</v>
      </c>
      <c r="G351" s="107"/>
      <c r="H351" s="185" t="s">
        <v>20</v>
      </c>
      <c r="I351" s="186"/>
      <c r="J351" s="108">
        <f>SUM(J327:J350)</f>
        <v>161</v>
      </c>
      <c r="K351" s="109"/>
      <c r="L351" s="115"/>
      <c r="M351" s="115"/>
      <c r="N351" s="115"/>
      <c r="O351" s="115"/>
    </row>
    <row r="352" spans="1:15" ht="24" thickBot="1" x14ac:dyDescent="0.4">
      <c r="A352" s="119"/>
      <c r="B352" s="110"/>
      <c r="C352" s="111"/>
      <c r="D352" s="187" t="s">
        <v>21</v>
      </c>
      <c r="E352" s="188"/>
      <c r="F352" s="112">
        <f>F351/240*1</f>
        <v>0.7</v>
      </c>
      <c r="G352" s="111"/>
      <c r="H352" s="189" t="s">
        <v>22</v>
      </c>
      <c r="I352" s="190"/>
      <c r="J352" s="113">
        <f>J351/240*1</f>
        <v>0.67083333333333328</v>
      </c>
      <c r="K352" s="114"/>
      <c r="L352" s="115"/>
      <c r="M352" s="115"/>
      <c r="N352" s="115"/>
      <c r="O352" s="115"/>
    </row>
    <row r="353" spans="1:15" ht="24" thickBot="1" x14ac:dyDescent="0.4">
      <c r="A353" s="120">
        <v>13</v>
      </c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</row>
    <row r="354" spans="1:15" ht="21" thickBot="1" x14ac:dyDescent="0.35">
      <c r="A354" s="244" t="s">
        <v>25</v>
      </c>
      <c r="B354" s="191" t="s">
        <v>0</v>
      </c>
      <c r="C354" s="192"/>
      <c r="D354" s="192"/>
      <c r="E354" s="192"/>
      <c r="F354" s="192"/>
      <c r="G354" s="192"/>
      <c r="H354" s="192"/>
      <c r="I354" s="192"/>
      <c r="J354" s="192"/>
      <c r="K354" s="193"/>
      <c r="L354" s="115"/>
      <c r="M354" s="115"/>
      <c r="N354" s="115"/>
      <c r="O354" s="115"/>
    </row>
    <row r="355" spans="1:15" ht="21" thickBot="1" x14ac:dyDescent="0.35">
      <c r="A355" s="245"/>
      <c r="B355" s="196" t="s">
        <v>17</v>
      </c>
      <c r="C355" s="197"/>
      <c r="D355" s="197"/>
      <c r="E355" s="197"/>
      <c r="F355" s="198"/>
      <c r="G355" s="199" t="s">
        <v>1</v>
      </c>
      <c r="H355" s="200"/>
      <c r="I355" s="200"/>
      <c r="J355" s="200"/>
      <c r="K355" s="201"/>
      <c r="L355" s="115"/>
      <c r="M355" s="115"/>
      <c r="N355" s="115"/>
      <c r="O355" s="115"/>
    </row>
    <row r="356" spans="1:15" ht="41.25" thickBot="1" x14ac:dyDescent="0.25">
      <c r="A356" s="246"/>
      <c r="B356" s="2" t="s">
        <v>2</v>
      </c>
      <c r="C356" s="3" t="s">
        <v>6</v>
      </c>
      <c r="D356" s="3" t="s">
        <v>7</v>
      </c>
      <c r="E356" s="3" t="s">
        <v>8</v>
      </c>
      <c r="F356" s="4" t="s">
        <v>19</v>
      </c>
      <c r="G356" s="5" t="s">
        <v>2</v>
      </c>
      <c r="H356" s="6" t="s">
        <v>3</v>
      </c>
      <c r="I356" s="6" t="s">
        <v>4</v>
      </c>
      <c r="J356" s="7" t="s">
        <v>18</v>
      </c>
      <c r="K356" s="8" t="s">
        <v>5</v>
      </c>
      <c r="L356" s="115"/>
      <c r="M356" s="115"/>
      <c r="N356" s="115"/>
      <c r="O356" s="115"/>
    </row>
    <row r="357" spans="1:15" ht="18" x14ac:dyDescent="0.2">
      <c r="A357" s="237">
        <v>45464</v>
      </c>
      <c r="B357" s="220" t="s">
        <v>9</v>
      </c>
      <c r="C357" s="9"/>
      <c r="D357" s="9" t="s">
        <v>7</v>
      </c>
      <c r="E357" s="10"/>
      <c r="F357" s="11">
        <v>7</v>
      </c>
      <c r="G357" s="223" t="s">
        <v>9</v>
      </c>
      <c r="H357" s="12"/>
      <c r="I357" s="12" t="s">
        <v>10</v>
      </c>
      <c r="J357" s="11">
        <v>7</v>
      </c>
      <c r="K357" s="13"/>
      <c r="L357" s="115"/>
      <c r="M357" s="115"/>
      <c r="N357" s="115"/>
      <c r="O357" s="115"/>
    </row>
    <row r="358" spans="1:15" ht="18" x14ac:dyDescent="0.2">
      <c r="A358" s="238"/>
      <c r="B358" s="221"/>
      <c r="C358" s="14"/>
      <c r="D358" s="9" t="s">
        <v>7</v>
      </c>
      <c r="E358" s="10"/>
      <c r="F358" s="11">
        <v>7</v>
      </c>
      <c r="G358" s="224"/>
      <c r="H358" s="15"/>
      <c r="I358" s="16" t="s">
        <v>10</v>
      </c>
      <c r="J358" s="11">
        <v>7</v>
      </c>
      <c r="K358" s="17"/>
      <c r="L358" s="115"/>
      <c r="M358" s="115"/>
      <c r="N358" s="115"/>
      <c r="O358" s="115"/>
    </row>
    <row r="359" spans="1:15" ht="18" x14ac:dyDescent="0.2">
      <c r="A359" s="238"/>
      <c r="B359" s="221"/>
      <c r="C359" s="14"/>
      <c r="D359" s="9" t="s">
        <v>7</v>
      </c>
      <c r="E359" s="10"/>
      <c r="F359" s="11">
        <v>7</v>
      </c>
      <c r="G359" s="224"/>
      <c r="H359" s="15"/>
      <c r="I359" s="16" t="s">
        <v>10</v>
      </c>
      <c r="J359" s="11">
        <v>7</v>
      </c>
      <c r="K359" s="17"/>
      <c r="L359" s="115"/>
      <c r="M359" s="115"/>
      <c r="N359" s="115"/>
      <c r="O359" s="115"/>
    </row>
    <row r="360" spans="1:15" ht="18.75" thickBot="1" x14ac:dyDescent="0.25">
      <c r="A360" s="238"/>
      <c r="B360" s="222"/>
      <c r="C360" s="18"/>
      <c r="D360" s="19" t="s">
        <v>7</v>
      </c>
      <c r="E360" s="20"/>
      <c r="F360" s="21">
        <v>7</v>
      </c>
      <c r="G360" s="225"/>
      <c r="H360" s="22"/>
      <c r="I360" s="23" t="s">
        <v>10</v>
      </c>
      <c r="J360" s="21">
        <v>7</v>
      </c>
      <c r="K360" s="24"/>
      <c r="L360" s="115"/>
      <c r="M360" s="115"/>
      <c r="N360" s="115"/>
      <c r="O360" s="115"/>
    </row>
    <row r="361" spans="1:15" ht="18" customHeight="1" x14ac:dyDescent="0.2">
      <c r="A361" s="237">
        <v>45465</v>
      </c>
      <c r="B361" s="226" t="s">
        <v>12</v>
      </c>
      <c r="C361" s="25"/>
      <c r="D361" s="25" t="s">
        <v>7</v>
      </c>
      <c r="E361" s="26"/>
      <c r="F361" s="27">
        <v>7</v>
      </c>
      <c r="G361" s="229" t="s">
        <v>12</v>
      </c>
      <c r="H361" s="28"/>
      <c r="I361" s="28" t="s">
        <v>10</v>
      </c>
      <c r="J361" s="27">
        <v>7</v>
      </c>
      <c r="K361" s="29"/>
      <c r="L361" s="115"/>
      <c r="M361" s="115"/>
      <c r="N361" s="115"/>
      <c r="O361" s="115"/>
    </row>
    <row r="362" spans="1:15" ht="18" customHeight="1" x14ac:dyDescent="0.2">
      <c r="A362" s="238"/>
      <c r="B362" s="227"/>
      <c r="C362" s="30"/>
      <c r="D362" s="31" t="s">
        <v>7</v>
      </c>
      <c r="E362" s="32"/>
      <c r="F362" s="33">
        <v>7</v>
      </c>
      <c r="G362" s="230"/>
      <c r="H362" s="34"/>
      <c r="I362" s="35" t="s">
        <v>10</v>
      </c>
      <c r="J362" s="33">
        <v>7</v>
      </c>
      <c r="K362" s="36"/>
      <c r="L362" s="115"/>
      <c r="M362" s="115"/>
      <c r="N362" s="115"/>
      <c r="O362" s="115"/>
    </row>
    <row r="363" spans="1:15" ht="18" customHeight="1" x14ac:dyDescent="0.2">
      <c r="A363" s="238"/>
      <c r="B363" s="227"/>
      <c r="C363" s="30"/>
      <c r="D363" s="31" t="s">
        <v>7</v>
      </c>
      <c r="E363" s="32"/>
      <c r="F363" s="33">
        <v>7</v>
      </c>
      <c r="G363" s="230"/>
      <c r="H363" s="34"/>
      <c r="I363" s="35" t="s">
        <v>10</v>
      </c>
      <c r="J363" s="33">
        <v>7</v>
      </c>
      <c r="K363" s="36"/>
      <c r="L363" s="115"/>
      <c r="M363" s="115"/>
      <c r="N363" s="115"/>
      <c r="O363" s="115"/>
    </row>
    <row r="364" spans="1:15" ht="18.75" customHeight="1" thickBot="1" x14ac:dyDescent="0.25">
      <c r="A364" s="238"/>
      <c r="B364" s="228"/>
      <c r="C364" s="37"/>
      <c r="D364" s="38" t="s">
        <v>7</v>
      </c>
      <c r="E364" s="39"/>
      <c r="F364" s="40">
        <v>7</v>
      </c>
      <c r="G364" s="231"/>
      <c r="H364" s="41"/>
      <c r="I364" s="42" t="s">
        <v>10</v>
      </c>
      <c r="J364" s="40">
        <v>7</v>
      </c>
      <c r="K364" s="43"/>
      <c r="L364" s="115"/>
      <c r="M364" s="115"/>
      <c r="N364" s="115"/>
      <c r="O364" s="115"/>
    </row>
    <row r="365" spans="1:15" ht="18" customHeight="1" x14ac:dyDescent="0.2">
      <c r="A365" s="237">
        <v>45466</v>
      </c>
      <c r="B365" s="232" t="s">
        <v>13</v>
      </c>
      <c r="C365" s="44"/>
      <c r="D365" s="44" t="s">
        <v>7</v>
      </c>
      <c r="E365" s="45"/>
      <c r="F365" s="46">
        <v>7</v>
      </c>
      <c r="G365" s="185" t="s">
        <v>13</v>
      </c>
      <c r="H365" s="47"/>
      <c r="I365" s="47" t="s">
        <v>10</v>
      </c>
      <c r="J365" s="46">
        <v>7</v>
      </c>
      <c r="K365" s="48"/>
      <c r="L365" s="115"/>
      <c r="M365" s="115"/>
      <c r="N365" s="115"/>
      <c r="O365" s="115"/>
    </row>
    <row r="366" spans="1:15" ht="18" customHeight="1" x14ac:dyDescent="0.2">
      <c r="A366" s="238"/>
      <c r="B366" s="233"/>
      <c r="C366" s="49"/>
      <c r="D366" s="44" t="s">
        <v>7</v>
      </c>
      <c r="E366" s="45"/>
      <c r="F366" s="46">
        <v>7</v>
      </c>
      <c r="G366" s="235"/>
      <c r="H366" s="50"/>
      <c r="I366" s="51" t="s">
        <v>10</v>
      </c>
      <c r="J366" s="46">
        <v>7</v>
      </c>
      <c r="K366" s="52"/>
      <c r="L366" s="115"/>
      <c r="M366" s="115"/>
      <c r="N366" s="115"/>
      <c r="O366" s="115"/>
    </row>
    <row r="367" spans="1:15" ht="18" customHeight="1" x14ac:dyDescent="0.2">
      <c r="A367" s="238"/>
      <c r="B367" s="233"/>
      <c r="C367" s="49"/>
      <c r="D367" s="44" t="s">
        <v>7</v>
      </c>
      <c r="E367" s="45"/>
      <c r="F367" s="46">
        <v>7</v>
      </c>
      <c r="G367" s="235"/>
      <c r="H367" s="50"/>
      <c r="I367" s="51" t="s">
        <v>10</v>
      </c>
      <c r="J367" s="46">
        <v>7</v>
      </c>
      <c r="K367" s="52"/>
      <c r="L367" s="115"/>
      <c r="M367" s="115"/>
      <c r="N367" s="115"/>
      <c r="O367" s="115"/>
    </row>
    <row r="368" spans="1:15" ht="18.75" customHeight="1" thickBot="1" x14ac:dyDescent="0.25">
      <c r="A368" s="238"/>
      <c r="B368" s="234"/>
      <c r="C368" s="53"/>
      <c r="D368" s="54" t="s">
        <v>7</v>
      </c>
      <c r="E368" s="55"/>
      <c r="F368" s="56">
        <v>7</v>
      </c>
      <c r="G368" s="236"/>
      <c r="H368" s="57"/>
      <c r="I368" s="58" t="s">
        <v>10</v>
      </c>
      <c r="J368" s="56">
        <v>7</v>
      </c>
      <c r="K368" s="59"/>
      <c r="L368" s="115"/>
      <c r="M368" s="115"/>
      <c r="N368" s="115"/>
      <c r="O368" s="115"/>
    </row>
    <row r="369" spans="1:15" ht="18" customHeight="1" x14ac:dyDescent="0.2">
      <c r="A369" s="237">
        <v>45467</v>
      </c>
      <c r="B369" s="202" t="s">
        <v>14</v>
      </c>
      <c r="C369" s="60"/>
      <c r="D369" s="60" t="s">
        <v>7</v>
      </c>
      <c r="E369" s="61"/>
      <c r="F369" s="62">
        <v>7</v>
      </c>
      <c r="G369" s="205" t="s">
        <v>14</v>
      </c>
      <c r="H369" s="44"/>
      <c r="I369" s="44" t="s">
        <v>10</v>
      </c>
      <c r="J369" s="62">
        <v>7</v>
      </c>
      <c r="K369" s="45"/>
      <c r="L369" s="115"/>
      <c r="M369" s="115"/>
      <c r="N369" s="115"/>
      <c r="O369" s="115"/>
    </row>
    <row r="370" spans="1:15" ht="18" customHeight="1" x14ac:dyDescent="0.2">
      <c r="A370" s="238"/>
      <c r="B370" s="203"/>
      <c r="C370" s="63"/>
      <c r="D370" s="64" t="s">
        <v>7</v>
      </c>
      <c r="E370" s="65"/>
      <c r="F370" s="66">
        <v>7</v>
      </c>
      <c r="G370" s="206"/>
      <c r="H370" s="49"/>
      <c r="I370" s="44" t="s">
        <v>10</v>
      </c>
      <c r="J370" s="66">
        <v>7</v>
      </c>
      <c r="K370" s="67"/>
      <c r="L370" s="115"/>
      <c r="M370" s="115"/>
      <c r="N370" s="115"/>
      <c r="O370" s="115"/>
    </row>
    <row r="371" spans="1:15" ht="18" customHeight="1" x14ac:dyDescent="0.2">
      <c r="A371" s="238"/>
      <c r="B371" s="203"/>
      <c r="C371" s="63"/>
      <c r="D371" s="64" t="s">
        <v>7</v>
      </c>
      <c r="E371" s="65"/>
      <c r="F371" s="66">
        <v>7</v>
      </c>
      <c r="G371" s="206"/>
      <c r="H371" s="49"/>
      <c r="I371" s="44" t="s">
        <v>10</v>
      </c>
      <c r="J371" s="66">
        <v>7</v>
      </c>
      <c r="K371" s="67"/>
      <c r="L371" s="115"/>
      <c r="M371" s="115"/>
      <c r="N371" s="115"/>
      <c r="O371" s="115"/>
    </row>
    <row r="372" spans="1:15" ht="18.75" customHeight="1" thickBot="1" x14ac:dyDescent="0.25">
      <c r="A372" s="238"/>
      <c r="B372" s="204"/>
      <c r="C372" s="68"/>
      <c r="D372" s="69" t="s">
        <v>7</v>
      </c>
      <c r="E372" s="70"/>
      <c r="F372" s="71">
        <v>7</v>
      </c>
      <c r="G372" s="207"/>
      <c r="H372" s="53"/>
      <c r="I372" s="54" t="s">
        <v>10</v>
      </c>
      <c r="J372" s="71">
        <v>7</v>
      </c>
      <c r="K372" s="72"/>
      <c r="L372" s="115"/>
      <c r="M372" s="115"/>
      <c r="N372" s="115"/>
      <c r="O372" s="115"/>
    </row>
    <row r="373" spans="1:15" ht="18" customHeight="1" x14ac:dyDescent="0.2">
      <c r="A373" s="237">
        <v>45468</v>
      </c>
      <c r="B373" s="208" t="s">
        <v>15</v>
      </c>
      <c r="C373" s="16"/>
      <c r="D373" s="16" t="s">
        <v>7</v>
      </c>
      <c r="E373" s="73"/>
      <c r="F373" s="74">
        <v>7</v>
      </c>
      <c r="G373" s="211" t="s">
        <v>15</v>
      </c>
      <c r="H373" s="75"/>
      <c r="I373" s="75" t="s">
        <v>10</v>
      </c>
      <c r="J373" s="74">
        <v>7</v>
      </c>
      <c r="K373" s="76"/>
      <c r="L373" s="115"/>
      <c r="M373" s="115"/>
      <c r="N373" s="115"/>
      <c r="O373" s="115"/>
    </row>
    <row r="374" spans="1:15" ht="18" customHeight="1" x14ac:dyDescent="0.2">
      <c r="A374" s="238"/>
      <c r="B374" s="209"/>
      <c r="C374" s="15"/>
      <c r="D374" s="16" t="s">
        <v>7</v>
      </c>
      <c r="E374" s="73"/>
      <c r="F374" s="74">
        <v>7</v>
      </c>
      <c r="G374" s="212"/>
      <c r="H374" s="77"/>
      <c r="I374" s="78" t="s">
        <v>10</v>
      </c>
      <c r="J374" s="74">
        <v>7</v>
      </c>
      <c r="K374" s="79"/>
      <c r="L374" s="115"/>
      <c r="M374" s="115"/>
      <c r="N374" s="115"/>
      <c r="O374" s="115"/>
    </row>
    <row r="375" spans="1:15" ht="18" customHeight="1" x14ac:dyDescent="0.2">
      <c r="A375" s="238"/>
      <c r="B375" s="209"/>
      <c r="C375" s="15"/>
      <c r="D375" s="16" t="s">
        <v>7</v>
      </c>
      <c r="E375" s="73"/>
      <c r="F375" s="74">
        <v>7</v>
      </c>
      <c r="G375" s="212"/>
      <c r="H375" s="77"/>
      <c r="I375" s="78" t="s">
        <v>10</v>
      </c>
      <c r="J375" s="74">
        <v>7</v>
      </c>
      <c r="K375" s="79"/>
      <c r="L375" s="115"/>
      <c r="M375" s="115"/>
      <c r="N375" s="115"/>
      <c r="O375" s="115"/>
    </row>
    <row r="376" spans="1:15" ht="18.75" customHeight="1" thickBot="1" x14ac:dyDescent="0.25">
      <c r="A376" s="238"/>
      <c r="B376" s="210"/>
      <c r="C376" s="80"/>
      <c r="D376" s="81" t="s">
        <v>7</v>
      </c>
      <c r="E376" s="82"/>
      <c r="F376" s="83">
        <v>7</v>
      </c>
      <c r="G376" s="213"/>
      <c r="H376" s="84"/>
      <c r="I376" s="85" t="s">
        <v>10</v>
      </c>
      <c r="J376" s="83">
        <v>7</v>
      </c>
      <c r="K376" s="86"/>
      <c r="L376" s="115"/>
      <c r="M376" s="115"/>
      <c r="N376" s="115"/>
      <c r="O376" s="115"/>
    </row>
    <row r="377" spans="1:15" ht="18" customHeight="1" x14ac:dyDescent="0.2">
      <c r="A377" s="237">
        <v>45469</v>
      </c>
      <c r="B377" s="214" t="s">
        <v>16</v>
      </c>
      <c r="C377" s="87"/>
      <c r="D377" s="87" t="s">
        <v>7</v>
      </c>
      <c r="E377" s="88"/>
      <c r="F377" s="89">
        <v>7</v>
      </c>
      <c r="G377" s="217" t="s">
        <v>16</v>
      </c>
      <c r="H377" s="90"/>
      <c r="I377" s="90" t="s">
        <v>10</v>
      </c>
      <c r="J377" s="89">
        <v>0</v>
      </c>
      <c r="K377" s="91"/>
      <c r="L377" s="115"/>
      <c r="M377" s="115"/>
      <c r="N377" s="115"/>
      <c r="O377" s="115"/>
    </row>
    <row r="378" spans="1:15" ht="18" customHeight="1" x14ac:dyDescent="0.2">
      <c r="A378" s="238"/>
      <c r="B378" s="215"/>
      <c r="C378" s="92"/>
      <c r="D378" s="93" t="s">
        <v>7</v>
      </c>
      <c r="E378" s="94"/>
      <c r="F378" s="95">
        <v>7</v>
      </c>
      <c r="G378" s="218"/>
      <c r="H378" s="96"/>
      <c r="I378" s="97" t="s">
        <v>10</v>
      </c>
      <c r="J378" s="95">
        <v>7</v>
      </c>
      <c r="K378" s="98"/>
      <c r="L378" s="115"/>
      <c r="M378" s="115"/>
      <c r="N378" s="115"/>
      <c r="O378" s="115"/>
    </row>
    <row r="379" spans="1:15" ht="18" customHeight="1" x14ac:dyDescent="0.2">
      <c r="A379" s="238"/>
      <c r="B379" s="215"/>
      <c r="C379" s="92"/>
      <c r="D379" s="93" t="s">
        <v>7</v>
      </c>
      <c r="E379" s="94"/>
      <c r="F379" s="95">
        <v>7</v>
      </c>
      <c r="G379" s="218"/>
      <c r="H379" s="96"/>
      <c r="I379" s="97" t="s">
        <v>10</v>
      </c>
      <c r="J379" s="95">
        <v>7</v>
      </c>
      <c r="K379" s="98"/>
      <c r="L379" s="115"/>
      <c r="M379" s="115"/>
      <c r="N379" s="115"/>
      <c r="O379" s="115"/>
    </row>
    <row r="380" spans="1:15" ht="18.75" customHeight="1" thickBot="1" x14ac:dyDescent="0.25">
      <c r="A380" s="238"/>
      <c r="B380" s="216"/>
      <c r="C380" s="99"/>
      <c r="D380" s="100" t="s">
        <v>7</v>
      </c>
      <c r="E380" s="101"/>
      <c r="F380" s="102">
        <v>7</v>
      </c>
      <c r="G380" s="219"/>
      <c r="H380" s="103"/>
      <c r="I380" s="104" t="s">
        <v>10</v>
      </c>
      <c r="J380" s="102">
        <v>7</v>
      </c>
      <c r="K380" s="105"/>
      <c r="L380" s="115"/>
      <c r="M380" s="115"/>
      <c r="N380" s="115"/>
      <c r="O380" s="115"/>
    </row>
    <row r="381" spans="1:15" ht="23.25" x14ac:dyDescent="0.35">
      <c r="A381" s="118"/>
      <c r="B381" s="106"/>
      <c r="C381" s="107"/>
      <c r="D381" s="194" t="s">
        <v>20</v>
      </c>
      <c r="E381" s="195"/>
      <c r="F381" s="108">
        <f>SUM(F357:F380)</f>
        <v>168</v>
      </c>
      <c r="G381" s="107"/>
      <c r="H381" s="185" t="s">
        <v>20</v>
      </c>
      <c r="I381" s="186"/>
      <c r="J381" s="108">
        <f>SUM(J357:J380)</f>
        <v>161</v>
      </c>
      <c r="K381" s="109"/>
      <c r="L381" s="115"/>
      <c r="M381" s="115"/>
      <c r="N381" s="115"/>
      <c r="O381" s="115"/>
    </row>
    <row r="382" spans="1:15" ht="24" thickBot="1" x14ac:dyDescent="0.4">
      <c r="A382" s="119"/>
      <c r="B382" s="110"/>
      <c r="C382" s="111"/>
      <c r="D382" s="187" t="s">
        <v>21</v>
      </c>
      <c r="E382" s="188"/>
      <c r="F382" s="112">
        <f>F381/240*1</f>
        <v>0.7</v>
      </c>
      <c r="G382" s="111"/>
      <c r="H382" s="189" t="s">
        <v>22</v>
      </c>
      <c r="I382" s="190"/>
      <c r="J382" s="113">
        <f>J381/240*1</f>
        <v>0.67083333333333328</v>
      </c>
      <c r="K382" s="114"/>
      <c r="L382" s="115"/>
      <c r="M382" s="115"/>
      <c r="N382" s="115"/>
      <c r="O382" s="115"/>
    </row>
    <row r="383" spans="1:15" ht="24" thickBot="1" x14ac:dyDescent="0.4">
      <c r="A383" s="120">
        <v>14</v>
      </c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</row>
    <row r="384" spans="1:15" ht="21" thickBot="1" x14ac:dyDescent="0.35">
      <c r="A384" s="244" t="s">
        <v>25</v>
      </c>
      <c r="B384" s="191" t="s">
        <v>0</v>
      </c>
      <c r="C384" s="192"/>
      <c r="D384" s="192"/>
      <c r="E384" s="192"/>
      <c r="F384" s="192"/>
      <c r="G384" s="192"/>
      <c r="H384" s="192"/>
      <c r="I384" s="192"/>
      <c r="J384" s="192"/>
      <c r="K384" s="193"/>
      <c r="L384" s="115"/>
      <c r="M384" s="115"/>
      <c r="N384" s="115"/>
      <c r="O384" s="115"/>
    </row>
    <row r="385" spans="1:15" ht="21" thickBot="1" x14ac:dyDescent="0.35">
      <c r="A385" s="245"/>
      <c r="B385" s="196" t="s">
        <v>17</v>
      </c>
      <c r="C385" s="197"/>
      <c r="D385" s="197"/>
      <c r="E385" s="197"/>
      <c r="F385" s="198"/>
      <c r="G385" s="199" t="s">
        <v>1</v>
      </c>
      <c r="H385" s="200"/>
      <c r="I385" s="200"/>
      <c r="J385" s="200"/>
      <c r="K385" s="201"/>
      <c r="L385" s="115"/>
      <c r="M385" s="115"/>
      <c r="N385" s="115"/>
      <c r="O385" s="115"/>
    </row>
    <row r="386" spans="1:15" ht="41.25" thickBot="1" x14ac:dyDescent="0.25">
      <c r="A386" s="246"/>
      <c r="B386" s="2" t="s">
        <v>2</v>
      </c>
      <c r="C386" s="3" t="s">
        <v>6</v>
      </c>
      <c r="D386" s="3" t="s">
        <v>7</v>
      </c>
      <c r="E386" s="3" t="s">
        <v>8</v>
      </c>
      <c r="F386" s="4" t="s">
        <v>19</v>
      </c>
      <c r="G386" s="5" t="s">
        <v>2</v>
      </c>
      <c r="H386" s="6" t="s">
        <v>3</v>
      </c>
      <c r="I386" s="6" t="s">
        <v>4</v>
      </c>
      <c r="J386" s="7" t="s">
        <v>18</v>
      </c>
      <c r="K386" s="8" t="s">
        <v>5</v>
      </c>
      <c r="L386" s="115"/>
      <c r="M386" s="115"/>
      <c r="N386" s="115"/>
      <c r="O386" s="115"/>
    </row>
    <row r="387" spans="1:15" ht="18" x14ac:dyDescent="0.2">
      <c r="A387" s="237">
        <v>45471</v>
      </c>
      <c r="B387" s="220" t="s">
        <v>9</v>
      </c>
      <c r="C387" s="9"/>
      <c r="D387" s="9" t="s">
        <v>7</v>
      </c>
      <c r="E387" s="10"/>
      <c r="F387" s="11">
        <v>7</v>
      </c>
      <c r="G387" s="223" t="s">
        <v>9</v>
      </c>
      <c r="H387" s="12"/>
      <c r="I387" s="12" t="s">
        <v>10</v>
      </c>
      <c r="J387" s="11">
        <v>7</v>
      </c>
      <c r="K387" s="13"/>
      <c r="L387" s="115"/>
      <c r="M387" s="115"/>
      <c r="N387" s="115"/>
      <c r="O387" s="115"/>
    </row>
    <row r="388" spans="1:15" ht="18" x14ac:dyDescent="0.2">
      <c r="A388" s="238"/>
      <c r="B388" s="221"/>
      <c r="C388" s="14"/>
      <c r="D388" s="9" t="s">
        <v>7</v>
      </c>
      <c r="E388" s="10"/>
      <c r="F388" s="11">
        <v>7</v>
      </c>
      <c r="G388" s="224"/>
      <c r="H388" s="15"/>
      <c r="I388" s="16" t="s">
        <v>10</v>
      </c>
      <c r="J388" s="11">
        <v>7</v>
      </c>
      <c r="K388" s="17"/>
      <c r="L388" s="115"/>
      <c r="M388" s="115"/>
      <c r="N388" s="115"/>
      <c r="O388" s="115"/>
    </row>
    <row r="389" spans="1:15" ht="18" x14ac:dyDescent="0.2">
      <c r="A389" s="238"/>
      <c r="B389" s="221"/>
      <c r="C389" s="14"/>
      <c r="D389" s="9" t="s">
        <v>7</v>
      </c>
      <c r="E389" s="10"/>
      <c r="F389" s="11">
        <v>7</v>
      </c>
      <c r="G389" s="224"/>
      <c r="H389" s="15"/>
      <c r="I389" s="16" t="s">
        <v>10</v>
      </c>
      <c r="J389" s="11">
        <v>7</v>
      </c>
      <c r="K389" s="17"/>
      <c r="L389" s="115"/>
      <c r="M389" s="115"/>
      <c r="N389" s="115"/>
      <c r="O389" s="115"/>
    </row>
    <row r="390" spans="1:15" ht="18.75" thickBot="1" x14ac:dyDescent="0.25">
      <c r="A390" s="238"/>
      <c r="B390" s="222"/>
      <c r="C390" s="18"/>
      <c r="D390" s="19" t="s">
        <v>7</v>
      </c>
      <c r="E390" s="20"/>
      <c r="F390" s="21">
        <v>7</v>
      </c>
      <c r="G390" s="225"/>
      <c r="H390" s="22"/>
      <c r="I390" s="23" t="s">
        <v>10</v>
      </c>
      <c r="J390" s="21">
        <v>7</v>
      </c>
      <c r="K390" s="24"/>
      <c r="L390" s="115"/>
      <c r="M390" s="115"/>
      <c r="N390" s="115"/>
      <c r="O390" s="115"/>
    </row>
    <row r="391" spans="1:15" ht="18" customHeight="1" x14ac:dyDescent="0.2">
      <c r="A391" s="237">
        <v>45472</v>
      </c>
      <c r="B391" s="226" t="s">
        <v>12</v>
      </c>
      <c r="C391" s="25"/>
      <c r="D391" s="25" t="s">
        <v>7</v>
      </c>
      <c r="E391" s="26"/>
      <c r="F391" s="27">
        <v>7</v>
      </c>
      <c r="G391" s="229" t="s">
        <v>12</v>
      </c>
      <c r="H391" s="28"/>
      <c r="I391" s="28" t="s">
        <v>10</v>
      </c>
      <c r="J391" s="27">
        <v>7</v>
      </c>
      <c r="K391" s="29"/>
      <c r="L391" s="115"/>
      <c r="M391" s="115"/>
      <c r="N391" s="115"/>
      <c r="O391" s="115"/>
    </row>
    <row r="392" spans="1:15" ht="18" customHeight="1" x14ac:dyDescent="0.2">
      <c r="A392" s="238"/>
      <c r="B392" s="227"/>
      <c r="C392" s="30"/>
      <c r="D392" s="31" t="s">
        <v>7</v>
      </c>
      <c r="E392" s="32"/>
      <c r="F392" s="33">
        <v>7</v>
      </c>
      <c r="G392" s="230"/>
      <c r="H392" s="34"/>
      <c r="I392" s="35" t="s">
        <v>10</v>
      </c>
      <c r="J392" s="33">
        <v>7</v>
      </c>
      <c r="K392" s="36"/>
      <c r="L392" s="115"/>
      <c r="M392" s="115"/>
      <c r="N392" s="115"/>
      <c r="O392" s="115"/>
    </row>
    <row r="393" spans="1:15" ht="18" customHeight="1" x14ac:dyDescent="0.2">
      <c r="A393" s="238"/>
      <c r="B393" s="227"/>
      <c r="C393" s="30"/>
      <c r="D393" s="31" t="s">
        <v>7</v>
      </c>
      <c r="E393" s="32"/>
      <c r="F393" s="33">
        <v>7</v>
      </c>
      <c r="G393" s="230"/>
      <c r="H393" s="34"/>
      <c r="I393" s="35" t="s">
        <v>10</v>
      </c>
      <c r="J393" s="33">
        <v>7</v>
      </c>
      <c r="K393" s="36"/>
      <c r="L393" s="115"/>
      <c r="M393" s="115"/>
      <c r="N393" s="115"/>
      <c r="O393" s="115"/>
    </row>
    <row r="394" spans="1:15" ht="18.75" customHeight="1" thickBot="1" x14ac:dyDescent="0.25">
      <c r="A394" s="238"/>
      <c r="B394" s="228"/>
      <c r="C394" s="37"/>
      <c r="D394" s="38" t="s">
        <v>7</v>
      </c>
      <c r="E394" s="39"/>
      <c r="F394" s="40">
        <v>7</v>
      </c>
      <c r="G394" s="231"/>
      <c r="H394" s="41"/>
      <c r="I394" s="42" t="s">
        <v>10</v>
      </c>
      <c r="J394" s="40">
        <v>7</v>
      </c>
      <c r="K394" s="43"/>
      <c r="L394" s="115"/>
      <c r="M394" s="115"/>
      <c r="N394" s="115"/>
      <c r="O394" s="115"/>
    </row>
    <row r="395" spans="1:15" ht="18" customHeight="1" x14ac:dyDescent="0.2">
      <c r="A395" s="237">
        <v>45473</v>
      </c>
      <c r="B395" s="232" t="s">
        <v>13</v>
      </c>
      <c r="C395" s="44"/>
      <c r="D395" s="44" t="s">
        <v>7</v>
      </c>
      <c r="E395" s="45"/>
      <c r="F395" s="46">
        <v>7</v>
      </c>
      <c r="G395" s="185" t="s">
        <v>13</v>
      </c>
      <c r="H395" s="47"/>
      <c r="I395" s="47" t="s">
        <v>10</v>
      </c>
      <c r="J395" s="46">
        <v>7</v>
      </c>
      <c r="K395" s="48"/>
      <c r="L395" s="115"/>
      <c r="M395" s="115"/>
      <c r="N395" s="115"/>
      <c r="O395" s="115"/>
    </row>
    <row r="396" spans="1:15" ht="18" customHeight="1" x14ac:dyDescent="0.2">
      <c r="A396" s="238"/>
      <c r="B396" s="233"/>
      <c r="C396" s="49"/>
      <c r="D396" s="44" t="s">
        <v>7</v>
      </c>
      <c r="E396" s="45"/>
      <c r="F396" s="46">
        <v>7</v>
      </c>
      <c r="G396" s="235"/>
      <c r="H396" s="50"/>
      <c r="I396" s="51" t="s">
        <v>10</v>
      </c>
      <c r="J396" s="46">
        <v>7</v>
      </c>
      <c r="K396" s="52"/>
      <c r="L396" s="115"/>
      <c r="M396" s="115"/>
      <c r="N396" s="115"/>
      <c r="O396" s="115"/>
    </row>
    <row r="397" spans="1:15" ht="18" customHeight="1" x14ac:dyDescent="0.2">
      <c r="A397" s="238"/>
      <c r="B397" s="233"/>
      <c r="C397" s="49"/>
      <c r="D397" s="44" t="s">
        <v>7</v>
      </c>
      <c r="E397" s="45"/>
      <c r="F397" s="46">
        <v>7</v>
      </c>
      <c r="G397" s="235"/>
      <c r="H397" s="50"/>
      <c r="I397" s="51" t="s">
        <v>10</v>
      </c>
      <c r="J397" s="46">
        <v>7</v>
      </c>
      <c r="K397" s="52"/>
      <c r="L397" s="115"/>
      <c r="M397" s="115"/>
      <c r="N397" s="115"/>
      <c r="O397" s="115"/>
    </row>
    <row r="398" spans="1:15" ht="18.75" customHeight="1" thickBot="1" x14ac:dyDescent="0.25">
      <c r="A398" s="238"/>
      <c r="B398" s="234"/>
      <c r="C398" s="53"/>
      <c r="D398" s="54" t="s">
        <v>7</v>
      </c>
      <c r="E398" s="55"/>
      <c r="F398" s="56">
        <v>7</v>
      </c>
      <c r="G398" s="236"/>
      <c r="H398" s="57"/>
      <c r="I398" s="58" t="s">
        <v>10</v>
      </c>
      <c r="J398" s="56">
        <v>7</v>
      </c>
      <c r="K398" s="59"/>
      <c r="L398" s="115"/>
      <c r="M398" s="115"/>
      <c r="N398" s="115"/>
      <c r="O398" s="115"/>
    </row>
    <row r="399" spans="1:15" ht="23.25" x14ac:dyDescent="0.35">
      <c r="A399" s="118"/>
      <c r="B399" s="106"/>
      <c r="C399" s="107"/>
      <c r="D399" s="194" t="s">
        <v>37</v>
      </c>
      <c r="E399" s="195"/>
      <c r="F399" s="108">
        <f>SUM(F387:F398)</f>
        <v>84</v>
      </c>
      <c r="G399" s="107"/>
      <c r="H399" s="185" t="s">
        <v>37</v>
      </c>
      <c r="I399" s="186"/>
      <c r="J399" s="108">
        <f>SUM(J387:J398)</f>
        <v>84</v>
      </c>
      <c r="K399" s="109"/>
      <c r="L399" s="115"/>
      <c r="M399" s="115"/>
      <c r="N399" s="115"/>
      <c r="O399" s="115"/>
    </row>
    <row r="400" spans="1:15" ht="24" thickBot="1" x14ac:dyDescent="0.4">
      <c r="A400" s="119"/>
      <c r="B400" s="110"/>
      <c r="C400" s="111"/>
      <c r="D400" s="187" t="s">
        <v>21</v>
      </c>
      <c r="E400" s="188"/>
      <c r="F400" s="112">
        <f>F399/120*1</f>
        <v>0.7</v>
      </c>
      <c r="G400" s="111"/>
      <c r="H400" s="189" t="s">
        <v>22</v>
      </c>
      <c r="I400" s="190"/>
      <c r="J400" s="113">
        <f>J399/120*1</f>
        <v>0.7</v>
      </c>
      <c r="K400" s="114"/>
      <c r="L400" s="115"/>
      <c r="M400" s="115"/>
      <c r="N400" s="115"/>
      <c r="O400" s="115"/>
    </row>
  </sheetData>
  <mergeCells count="351">
    <mergeCell ref="D1:E1"/>
    <mergeCell ref="H1:I1"/>
    <mergeCell ref="A2:A4"/>
    <mergeCell ref="B2:K2"/>
    <mergeCell ref="B3:F3"/>
    <mergeCell ref="G3:K3"/>
    <mergeCell ref="A5:A8"/>
    <mergeCell ref="B5:B8"/>
    <mergeCell ref="G5:G8"/>
    <mergeCell ref="A9:A12"/>
    <mergeCell ref="B9:B12"/>
    <mergeCell ref="G9:G12"/>
    <mergeCell ref="D21:E21"/>
    <mergeCell ref="H21:I21"/>
    <mergeCell ref="D22:E22"/>
    <mergeCell ref="H22:I22"/>
    <mergeCell ref="A24:A26"/>
    <mergeCell ref="B24:K24"/>
    <mergeCell ref="B25:F25"/>
    <mergeCell ref="G25:K25"/>
    <mergeCell ref="A13:A16"/>
    <mergeCell ref="B13:B16"/>
    <mergeCell ref="G13:G16"/>
    <mergeCell ref="A17:A20"/>
    <mergeCell ref="B17:B20"/>
    <mergeCell ref="G17:G20"/>
    <mergeCell ref="A35:A38"/>
    <mergeCell ref="B35:B38"/>
    <mergeCell ref="G35:G38"/>
    <mergeCell ref="A39:A42"/>
    <mergeCell ref="B39:B42"/>
    <mergeCell ref="G39:G42"/>
    <mergeCell ref="A27:A30"/>
    <mergeCell ref="B27:B30"/>
    <mergeCell ref="G27:G30"/>
    <mergeCell ref="A31:A34"/>
    <mergeCell ref="B31:B34"/>
    <mergeCell ref="G31:G34"/>
    <mergeCell ref="D51:E51"/>
    <mergeCell ref="H51:I51"/>
    <mergeCell ref="D52:E52"/>
    <mergeCell ref="H52:I52"/>
    <mergeCell ref="A54:A56"/>
    <mergeCell ref="B54:K54"/>
    <mergeCell ref="B55:F55"/>
    <mergeCell ref="G55:K55"/>
    <mergeCell ref="A43:A46"/>
    <mergeCell ref="B43:B46"/>
    <mergeCell ref="G43:G46"/>
    <mergeCell ref="A47:A50"/>
    <mergeCell ref="B47:B50"/>
    <mergeCell ref="G47:G50"/>
    <mergeCell ref="A65:A68"/>
    <mergeCell ref="B65:B68"/>
    <mergeCell ref="G65:G68"/>
    <mergeCell ref="A69:A72"/>
    <mergeCell ref="B69:B72"/>
    <mergeCell ref="G69:G72"/>
    <mergeCell ref="A57:A60"/>
    <mergeCell ref="B57:B60"/>
    <mergeCell ref="G57:G60"/>
    <mergeCell ref="A61:A64"/>
    <mergeCell ref="B61:B64"/>
    <mergeCell ref="G61:G64"/>
    <mergeCell ref="D81:E81"/>
    <mergeCell ref="H81:I81"/>
    <mergeCell ref="D82:E82"/>
    <mergeCell ref="H82:I82"/>
    <mergeCell ref="A84:A86"/>
    <mergeCell ref="B84:K84"/>
    <mergeCell ref="B85:F85"/>
    <mergeCell ref="G85:K85"/>
    <mergeCell ref="A73:A76"/>
    <mergeCell ref="B73:B76"/>
    <mergeCell ref="G73:G76"/>
    <mergeCell ref="A77:A80"/>
    <mergeCell ref="B77:B80"/>
    <mergeCell ref="G77:G80"/>
    <mergeCell ref="A95:A98"/>
    <mergeCell ref="B95:B98"/>
    <mergeCell ref="G95:G98"/>
    <mergeCell ref="A99:A102"/>
    <mergeCell ref="B99:B102"/>
    <mergeCell ref="G99:G102"/>
    <mergeCell ref="A87:A90"/>
    <mergeCell ref="B87:B90"/>
    <mergeCell ref="G87:G90"/>
    <mergeCell ref="A91:A94"/>
    <mergeCell ref="B91:B94"/>
    <mergeCell ref="G91:G94"/>
    <mergeCell ref="D111:E111"/>
    <mergeCell ref="H111:I111"/>
    <mergeCell ref="D112:E112"/>
    <mergeCell ref="H112:I112"/>
    <mergeCell ref="A114:A116"/>
    <mergeCell ref="B114:K114"/>
    <mergeCell ref="B115:F115"/>
    <mergeCell ref="G115:K115"/>
    <mergeCell ref="A103:A106"/>
    <mergeCell ref="B103:B106"/>
    <mergeCell ref="G103:G106"/>
    <mergeCell ref="A107:A110"/>
    <mergeCell ref="B107:B110"/>
    <mergeCell ref="G107:G110"/>
    <mergeCell ref="A125:A128"/>
    <mergeCell ref="B125:B128"/>
    <mergeCell ref="G125:G128"/>
    <mergeCell ref="A129:A132"/>
    <mergeCell ref="B129:B132"/>
    <mergeCell ref="G129:G132"/>
    <mergeCell ref="A117:A120"/>
    <mergeCell ref="B117:B120"/>
    <mergeCell ref="G117:G120"/>
    <mergeCell ref="A121:A124"/>
    <mergeCell ref="B121:B124"/>
    <mergeCell ref="G121:G124"/>
    <mergeCell ref="D141:E141"/>
    <mergeCell ref="H141:I141"/>
    <mergeCell ref="D142:E142"/>
    <mergeCell ref="H142:I142"/>
    <mergeCell ref="A144:A146"/>
    <mergeCell ref="B144:K144"/>
    <mergeCell ref="B145:F145"/>
    <mergeCell ref="G145:K145"/>
    <mergeCell ref="A133:A136"/>
    <mergeCell ref="B133:B136"/>
    <mergeCell ref="G133:G136"/>
    <mergeCell ref="A137:A140"/>
    <mergeCell ref="B137:B140"/>
    <mergeCell ref="G137:G140"/>
    <mergeCell ref="A155:A158"/>
    <mergeCell ref="B155:B158"/>
    <mergeCell ref="G155:G158"/>
    <mergeCell ref="A159:A162"/>
    <mergeCell ref="B159:B162"/>
    <mergeCell ref="G159:G162"/>
    <mergeCell ref="A147:A150"/>
    <mergeCell ref="B147:B150"/>
    <mergeCell ref="G147:G150"/>
    <mergeCell ref="A151:A154"/>
    <mergeCell ref="B151:B154"/>
    <mergeCell ref="G151:G154"/>
    <mergeCell ref="D171:E171"/>
    <mergeCell ref="H171:I171"/>
    <mergeCell ref="D172:E172"/>
    <mergeCell ref="H172:I172"/>
    <mergeCell ref="A174:A176"/>
    <mergeCell ref="B174:K174"/>
    <mergeCell ref="B175:F175"/>
    <mergeCell ref="G175:K175"/>
    <mergeCell ref="A163:A166"/>
    <mergeCell ref="B163:B166"/>
    <mergeCell ref="G163:G166"/>
    <mergeCell ref="A167:A170"/>
    <mergeCell ref="B167:B170"/>
    <mergeCell ref="G167:G170"/>
    <mergeCell ref="A185:A188"/>
    <mergeCell ref="B185:B188"/>
    <mergeCell ref="G185:G188"/>
    <mergeCell ref="A189:A192"/>
    <mergeCell ref="B189:B192"/>
    <mergeCell ref="G189:G192"/>
    <mergeCell ref="A177:A180"/>
    <mergeCell ref="B177:B180"/>
    <mergeCell ref="G177:G180"/>
    <mergeCell ref="A181:A184"/>
    <mergeCell ref="B181:B184"/>
    <mergeCell ref="G181:G184"/>
    <mergeCell ref="D201:E201"/>
    <mergeCell ref="H201:I201"/>
    <mergeCell ref="D202:E202"/>
    <mergeCell ref="H202:I202"/>
    <mergeCell ref="A204:A206"/>
    <mergeCell ref="B204:K204"/>
    <mergeCell ref="B205:F205"/>
    <mergeCell ref="G205:K205"/>
    <mergeCell ref="A193:A196"/>
    <mergeCell ref="B193:B196"/>
    <mergeCell ref="G193:G196"/>
    <mergeCell ref="A197:A200"/>
    <mergeCell ref="B197:B200"/>
    <mergeCell ref="G197:G200"/>
    <mergeCell ref="A215:A218"/>
    <mergeCell ref="B215:B218"/>
    <mergeCell ref="G215:G218"/>
    <mergeCell ref="A219:A222"/>
    <mergeCell ref="B219:B222"/>
    <mergeCell ref="G219:G222"/>
    <mergeCell ref="A207:A210"/>
    <mergeCell ref="B207:B210"/>
    <mergeCell ref="G207:G210"/>
    <mergeCell ref="A211:A214"/>
    <mergeCell ref="B211:B214"/>
    <mergeCell ref="G211:G214"/>
    <mergeCell ref="D231:E231"/>
    <mergeCell ref="H231:I231"/>
    <mergeCell ref="D232:E232"/>
    <mergeCell ref="H232:I232"/>
    <mergeCell ref="A234:A236"/>
    <mergeCell ref="B234:K234"/>
    <mergeCell ref="B235:F235"/>
    <mergeCell ref="G235:K235"/>
    <mergeCell ref="A223:A226"/>
    <mergeCell ref="B223:B226"/>
    <mergeCell ref="G223:G226"/>
    <mergeCell ref="A227:A230"/>
    <mergeCell ref="B227:B230"/>
    <mergeCell ref="G227:G230"/>
    <mergeCell ref="A245:A248"/>
    <mergeCell ref="B245:B248"/>
    <mergeCell ref="G245:G248"/>
    <mergeCell ref="A249:A252"/>
    <mergeCell ref="B249:B252"/>
    <mergeCell ref="G249:G252"/>
    <mergeCell ref="A237:A240"/>
    <mergeCell ref="B237:B240"/>
    <mergeCell ref="G237:G240"/>
    <mergeCell ref="A241:A244"/>
    <mergeCell ref="B241:B244"/>
    <mergeCell ref="G241:G244"/>
    <mergeCell ref="D261:E261"/>
    <mergeCell ref="H261:I261"/>
    <mergeCell ref="D262:E262"/>
    <mergeCell ref="H262:I262"/>
    <mergeCell ref="A264:A266"/>
    <mergeCell ref="B264:K264"/>
    <mergeCell ref="B265:F265"/>
    <mergeCell ref="G265:K265"/>
    <mergeCell ref="A253:A256"/>
    <mergeCell ref="B253:B256"/>
    <mergeCell ref="G253:G256"/>
    <mergeCell ref="A257:A260"/>
    <mergeCell ref="B257:B260"/>
    <mergeCell ref="G257:G260"/>
    <mergeCell ref="A275:A278"/>
    <mergeCell ref="B275:B278"/>
    <mergeCell ref="G275:G278"/>
    <mergeCell ref="A279:A282"/>
    <mergeCell ref="B279:B282"/>
    <mergeCell ref="G279:G282"/>
    <mergeCell ref="A267:A270"/>
    <mergeCell ref="B267:B270"/>
    <mergeCell ref="G267:G270"/>
    <mergeCell ref="A271:A274"/>
    <mergeCell ref="B271:B274"/>
    <mergeCell ref="G271:G274"/>
    <mergeCell ref="D291:E291"/>
    <mergeCell ref="H291:I291"/>
    <mergeCell ref="D292:E292"/>
    <mergeCell ref="H292:I292"/>
    <mergeCell ref="A294:A296"/>
    <mergeCell ref="B294:K294"/>
    <mergeCell ref="B295:F295"/>
    <mergeCell ref="G295:K295"/>
    <mergeCell ref="A283:A286"/>
    <mergeCell ref="B283:B286"/>
    <mergeCell ref="G283:G286"/>
    <mergeCell ref="A287:A290"/>
    <mergeCell ref="B287:B290"/>
    <mergeCell ref="G287:G290"/>
    <mergeCell ref="A305:A308"/>
    <mergeCell ref="B305:B308"/>
    <mergeCell ref="G305:G308"/>
    <mergeCell ref="A309:A312"/>
    <mergeCell ref="B309:B312"/>
    <mergeCell ref="G309:G312"/>
    <mergeCell ref="A297:A300"/>
    <mergeCell ref="B297:B300"/>
    <mergeCell ref="G297:G300"/>
    <mergeCell ref="A301:A304"/>
    <mergeCell ref="B301:B304"/>
    <mergeCell ref="G301:G304"/>
    <mergeCell ref="D321:E321"/>
    <mergeCell ref="H321:I321"/>
    <mergeCell ref="D322:E322"/>
    <mergeCell ref="H322:I322"/>
    <mergeCell ref="A324:A326"/>
    <mergeCell ref="B324:K324"/>
    <mergeCell ref="B325:F325"/>
    <mergeCell ref="G325:K325"/>
    <mergeCell ref="A313:A316"/>
    <mergeCell ref="B313:B316"/>
    <mergeCell ref="G313:G316"/>
    <mergeCell ref="A317:A320"/>
    <mergeCell ref="B317:B320"/>
    <mergeCell ref="G317:G320"/>
    <mergeCell ref="A335:A338"/>
    <mergeCell ref="B335:B338"/>
    <mergeCell ref="G335:G338"/>
    <mergeCell ref="A339:A342"/>
    <mergeCell ref="B339:B342"/>
    <mergeCell ref="G339:G342"/>
    <mergeCell ref="A327:A330"/>
    <mergeCell ref="B327:B330"/>
    <mergeCell ref="G327:G330"/>
    <mergeCell ref="A331:A334"/>
    <mergeCell ref="B331:B334"/>
    <mergeCell ref="G331:G334"/>
    <mergeCell ref="D351:E351"/>
    <mergeCell ref="H351:I351"/>
    <mergeCell ref="D352:E352"/>
    <mergeCell ref="H352:I352"/>
    <mergeCell ref="A354:A356"/>
    <mergeCell ref="B354:K354"/>
    <mergeCell ref="B355:F355"/>
    <mergeCell ref="G355:K355"/>
    <mergeCell ref="A343:A346"/>
    <mergeCell ref="B343:B346"/>
    <mergeCell ref="G343:G346"/>
    <mergeCell ref="A347:A350"/>
    <mergeCell ref="B347:B350"/>
    <mergeCell ref="G347:G350"/>
    <mergeCell ref="A365:A368"/>
    <mergeCell ref="B365:B368"/>
    <mergeCell ref="G365:G368"/>
    <mergeCell ref="A369:A372"/>
    <mergeCell ref="B369:B372"/>
    <mergeCell ref="G369:G372"/>
    <mergeCell ref="A357:A360"/>
    <mergeCell ref="B357:B360"/>
    <mergeCell ref="G357:G360"/>
    <mergeCell ref="A361:A364"/>
    <mergeCell ref="B361:B364"/>
    <mergeCell ref="G361:G364"/>
    <mergeCell ref="D381:E381"/>
    <mergeCell ref="H381:I381"/>
    <mergeCell ref="D382:E382"/>
    <mergeCell ref="H382:I382"/>
    <mergeCell ref="A384:A386"/>
    <mergeCell ref="B384:K384"/>
    <mergeCell ref="B385:F385"/>
    <mergeCell ref="G385:K385"/>
    <mergeCell ref="A373:A376"/>
    <mergeCell ref="B373:B376"/>
    <mergeCell ref="G373:G376"/>
    <mergeCell ref="A377:A380"/>
    <mergeCell ref="B377:B380"/>
    <mergeCell ref="G377:G380"/>
    <mergeCell ref="D399:E399"/>
    <mergeCell ref="H399:I399"/>
    <mergeCell ref="D400:E400"/>
    <mergeCell ref="H400:I400"/>
    <mergeCell ref="A395:A398"/>
    <mergeCell ref="B395:B398"/>
    <mergeCell ref="G395:G398"/>
    <mergeCell ref="A387:A390"/>
    <mergeCell ref="B387:B390"/>
    <mergeCell ref="G387:G390"/>
    <mergeCell ref="A391:A394"/>
    <mergeCell ref="B391:B394"/>
    <mergeCell ref="G391:G394"/>
  </mergeCells>
  <dataValidations count="2">
    <dataValidation type="list" allowBlank="1" showInputMessage="1" showErrorMessage="1" sqref="I117:I140 I387:I398 I357:I380 I327:I350 I297:I320 I267:I290 I237:I260 I207:I230 I177:I200 I147:I170 I57:I80 I27:I50 I87:I110 I5:I20" xr:uid="{00000000-0002-0000-0100-000000000000}">
      <formula1>#REF!</formula1>
    </dataValidation>
    <dataValidation type="list" allowBlank="1" showInputMessage="1" showErrorMessage="1" sqref="D5:E20 D387:E398 D357:E380 D327:E350 D297:E320 D267:E290 D237:E260 D207:E230 D177:E200 D147:E170 D57:E80 D27:E50 E122:E140 D117:D140 E117:E120 D87:D110 E87:E98 E100:E110" xr:uid="{00000000-0002-0000-01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0"/>
  <sheetViews>
    <sheetView rightToLeft="1" zoomScale="85" zoomScaleNormal="85" workbookViewId="0">
      <selection activeCell="C397" sqref="C397"/>
    </sheetView>
  </sheetViews>
  <sheetFormatPr defaultRowHeight="14.25" x14ac:dyDescent="0.2"/>
  <cols>
    <col min="1" max="1" width="14.25" bestFit="1" customWidth="1"/>
    <col min="2" max="2" width="10" customWidth="1"/>
    <col min="3" max="3" width="63.125" customWidth="1"/>
    <col min="4" max="4" width="11.25" customWidth="1"/>
    <col min="5" max="5" width="12" customWidth="1"/>
    <col min="6" max="6" width="15.5" bestFit="1" customWidth="1"/>
    <col min="7" max="7" width="10.125" customWidth="1"/>
    <col min="8" max="8" width="36.875" customWidth="1"/>
    <col min="9" max="9" width="11.625" customWidth="1"/>
    <col min="10" max="10" width="15.5" bestFit="1" customWidth="1"/>
    <col min="11" max="11" width="65.375" customWidth="1"/>
  </cols>
  <sheetData>
    <row r="1" spans="1:15" ht="53.25" customHeight="1" thickBot="1" x14ac:dyDescent="0.25">
      <c r="A1" s="1">
        <v>1</v>
      </c>
      <c r="B1" s="1"/>
      <c r="C1" s="1"/>
      <c r="D1" s="241" t="s">
        <v>23</v>
      </c>
      <c r="E1" s="242"/>
      <c r="F1" s="121">
        <f>(F22+F52+F82+F112+F142+F172+F202+F232+F262+F292+F322+F352+F382+F400+F430+F460)/14</f>
        <v>0.69791666666666663</v>
      </c>
      <c r="G1" s="1"/>
      <c r="H1" s="239" t="s">
        <v>24</v>
      </c>
      <c r="I1" s="240"/>
      <c r="J1" s="122">
        <f>(J22+J52+J82+J112+J142+J172+J202+J232+J262+J292+J322+J352+J382+J400)/14</f>
        <v>0.67187499999999989</v>
      </c>
      <c r="K1" s="1"/>
      <c r="L1" s="115"/>
      <c r="M1" s="115"/>
      <c r="N1" s="115"/>
      <c r="O1" s="115"/>
    </row>
    <row r="2" spans="1:15" ht="21" thickBot="1" x14ac:dyDescent="0.35">
      <c r="A2" s="244" t="s">
        <v>25</v>
      </c>
      <c r="B2" s="191" t="s">
        <v>0</v>
      </c>
      <c r="C2" s="192"/>
      <c r="D2" s="243"/>
      <c r="E2" s="243"/>
      <c r="F2" s="243"/>
      <c r="G2" s="192"/>
      <c r="H2" s="243"/>
      <c r="I2" s="243"/>
      <c r="J2" s="243"/>
      <c r="K2" s="193"/>
      <c r="L2" s="115"/>
      <c r="M2" s="115"/>
      <c r="N2" s="115"/>
      <c r="O2" s="115"/>
    </row>
    <row r="3" spans="1:15" ht="21" customHeight="1" thickBot="1" x14ac:dyDescent="0.35">
      <c r="A3" s="245"/>
      <c r="B3" s="196" t="s">
        <v>17</v>
      </c>
      <c r="C3" s="197"/>
      <c r="D3" s="197"/>
      <c r="E3" s="197"/>
      <c r="F3" s="198"/>
      <c r="G3" s="199" t="s">
        <v>1</v>
      </c>
      <c r="H3" s="200"/>
      <c r="I3" s="200"/>
      <c r="J3" s="200"/>
      <c r="K3" s="201"/>
      <c r="L3" s="115"/>
      <c r="M3" s="115"/>
      <c r="N3" s="115"/>
      <c r="O3" s="115"/>
    </row>
    <row r="4" spans="1:15" ht="41.25" thickBot="1" x14ac:dyDescent="0.25">
      <c r="A4" s="246"/>
      <c r="B4" s="2" t="s">
        <v>2</v>
      </c>
      <c r="C4" s="3" t="s">
        <v>6</v>
      </c>
      <c r="D4" s="3" t="s">
        <v>7</v>
      </c>
      <c r="E4" s="3" t="s">
        <v>8</v>
      </c>
      <c r="F4" s="4" t="s">
        <v>19</v>
      </c>
      <c r="G4" s="5" t="s">
        <v>2</v>
      </c>
      <c r="H4" s="6" t="s">
        <v>3</v>
      </c>
      <c r="I4" s="6" t="s">
        <v>4</v>
      </c>
      <c r="J4" s="7" t="s">
        <v>18</v>
      </c>
      <c r="K4" s="8" t="s">
        <v>5</v>
      </c>
      <c r="L4" s="115"/>
      <c r="M4" s="115"/>
      <c r="N4" s="115"/>
      <c r="O4" s="115"/>
    </row>
    <row r="5" spans="1:15" ht="18" x14ac:dyDescent="0.2">
      <c r="A5" s="237">
        <v>45474</v>
      </c>
      <c r="B5" s="232" t="s">
        <v>13</v>
      </c>
      <c r="C5" s="44"/>
      <c r="D5" s="44" t="s">
        <v>7</v>
      </c>
      <c r="E5" s="45"/>
      <c r="F5" s="46">
        <v>7</v>
      </c>
      <c r="G5" s="185" t="s">
        <v>13</v>
      </c>
      <c r="H5" s="47"/>
      <c r="I5" s="47" t="s">
        <v>10</v>
      </c>
      <c r="J5" s="46">
        <v>7</v>
      </c>
      <c r="K5" s="48"/>
      <c r="L5" s="115"/>
      <c r="M5" s="115"/>
      <c r="N5" s="115"/>
      <c r="O5" s="115"/>
    </row>
    <row r="6" spans="1:15" ht="18" x14ac:dyDescent="0.2">
      <c r="A6" s="238"/>
      <c r="B6" s="233"/>
      <c r="C6" s="49"/>
      <c r="D6" s="44" t="s">
        <v>7</v>
      </c>
      <c r="E6" s="45"/>
      <c r="F6" s="46">
        <v>7</v>
      </c>
      <c r="G6" s="235"/>
      <c r="H6" s="50"/>
      <c r="I6" s="51" t="s">
        <v>10</v>
      </c>
      <c r="J6" s="46">
        <v>7</v>
      </c>
      <c r="K6" s="52"/>
      <c r="L6" s="115"/>
      <c r="M6" s="115"/>
      <c r="N6" s="115"/>
      <c r="O6" s="115"/>
    </row>
    <row r="7" spans="1:15" ht="18" x14ac:dyDescent="0.2">
      <c r="A7" s="238"/>
      <c r="B7" s="233"/>
      <c r="C7" s="49"/>
      <c r="D7" s="44" t="s">
        <v>7</v>
      </c>
      <c r="E7" s="45"/>
      <c r="F7" s="46">
        <v>7</v>
      </c>
      <c r="G7" s="235"/>
      <c r="H7" s="50"/>
      <c r="I7" s="51" t="s">
        <v>10</v>
      </c>
      <c r="J7" s="46">
        <v>7</v>
      </c>
      <c r="K7" s="52"/>
      <c r="L7" s="115"/>
      <c r="M7" s="115"/>
      <c r="N7" s="115"/>
      <c r="O7" s="115"/>
    </row>
    <row r="8" spans="1:15" ht="18.75" thickBot="1" x14ac:dyDescent="0.25">
      <c r="A8" s="238"/>
      <c r="B8" s="234"/>
      <c r="C8" s="53"/>
      <c r="D8" s="54" t="s">
        <v>7</v>
      </c>
      <c r="E8" s="55"/>
      <c r="F8" s="56">
        <v>7</v>
      </c>
      <c r="G8" s="236"/>
      <c r="H8" s="57"/>
      <c r="I8" s="58" t="s">
        <v>10</v>
      </c>
      <c r="J8" s="56">
        <v>7</v>
      </c>
      <c r="K8" s="59"/>
      <c r="L8" s="115"/>
      <c r="M8" s="115"/>
      <c r="N8" s="115"/>
      <c r="O8" s="115"/>
    </row>
    <row r="9" spans="1:15" ht="18" customHeight="1" x14ac:dyDescent="0.2">
      <c r="A9" s="237">
        <v>45475</v>
      </c>
      <c r="B9" s="202" t="s">
        <v>14</v>
      </c>
      <c r="C9" s="60"/>
      <c r="D9" s="60" t="s">
        <v>7</v>
      </c>
      <c r="E9" s="61"/>
      <c r="F9" s="62">
        <v>7</v>
      </c>
      <c r="G9" s="205" t="s">
        <v>14</v>
      </c>
      <c r="H9" s="44"/>
      <c r="I9" s="44" t="s">
        <v>10</v>
      </c>
      <c r="J9" s="62">
        <v>7</v>
      </c>
      <c r="K9" s="45"/>
      <c r="L9" s="115"/>
      <c r="M9" s="115"/>
      <c r="N9" s="115"/>
      <c r="O9" s="115"/>
    </row>
    <row r="10" spans="1:15" ht="18" customHeight="1" x14ac:dyDescent="0.2">
      <c r="A10" s="238"/>
      <c r="B10" s="203"/>
      <c r="C10" s="63"/>
      <c r="D10" s="64" t="s">
        <v>7</v>
      </c>
      <c r="E10" s="65"/>
      <c r="F10" s="66">
        <v>7</v>
      </c>
      <c r="G10" s="206"/>
      <c r="H10" s="49"/>
      <c r="I10" s="44" t="s">
        <v>10</v>
      </c>
      <c r="J10" s="66">
        <v>7</v>
      </c>
      <c r="K10" s="67"/>
      <c r="L10" s="115"/>
      <c r="M10" s="115"/>
      <c r="N10" s="115"/>
      <c r="O10" s="115"/>
    </row>
    <row r="11" spans="1:15" ht="18" customHeight="1" x14ac:dyDescent="0.2">
      <c r="A11" s="238"/>
      <c r="B11" s="203"/>
      <c r="C11" s="63"/>
      <c r="D11" s="64" t="s">
        <v>7</v>
      </c>
      <c r="E11" s="65"/>
      <c r="F11" s="66">
        <v>7</v>
      </c>
      <c r="G11" s="206"/>
      <c r="H11" s="49"/>
      <c r="I11" s="44" t="s">
        <v>10</v>
      </c>
      <c r="J11" s="66">
        <v>7</v>
      </c>
      <c r="K11" s="67"/>
      <c r="L11" s="115"/>
      <c r="M11" s="115"/>
      <c r="N11" s="115"/>
      <c r="O11" s="115"/>
    </row>
    <row r="12" spans="1:15" ht="18.75" customHeight="1" thickBot="1" x14ac:dyDescent="0.25">
      <c r="A12" s="238"/>
      <c r="B12" s="204"/>
      <c r="C12" s="68"/>
      <c r="D12" s="69" t="s">
        <v>7</v>
      </c>
      <c r="E12" s="70"/>
      <c r="F12" s="71">
        <v>7</v>
      </c>
      <c r="G12" s="207"/>
      <c r="H12" s="53"/>
      <c r="I12" s="54" t="s">
        <v>10</v>
      </c>
      <c r="J12" s="71">
        <v>7</v>
      </c>
      <c r="K12" s="72"/>
      <c r="L12" s="115"/>
      <c r="M12" s="115"/>
      <c r="N12" s="115"/>
      <c r="O12" s="115"/>
    </row>
    <row r="13" spans="1:15" ht="18" customHeight="1" x14ac:dyDescent="0.2">
      <c r="A13" s="237">
        <v>45476</v>
      </c>
      <c r="B13" s="208" t="s">
        <v>15</v>
      </c>
      <c r="C13" s="16"/>
      <c r="D13" s="16" t="s">
        <v>7</v>
      </c>
      <c r="E13" s="73"/>
      <c r="F13" s="74">
        <v>7</v>
      </c>
      <c r="G13" s="211" t="s">
        <v>15</v>
      </c>
      <c r="H13" s="75"/>
      <c r="I13" s="75" t="s">
        <v>10</v>
      </c>
      <c r="J13" s="74">
        <v>7</v>
      </c>
      <c r="K13" s="76"/>
      <c r="L13" s="115"/>
      <c r="M13" s="115"/>
      <c r="N13" s="115"/>
      <c r="O13" s="115"/>
    </row>
    <row r="14" spans="1:15" ht="18" customHeight="1" x14ac:dyDescent="0.2">
      <c r="A14" s="238"/>
      <c r="B14" s="209"/>
      <c r="C14" s="15"/>
      <c r="D14" s="16" t="s">
        <v>7</v>
      </c>
      <c r="E14" s="73"/>
      <c r="F14" s="74">
        <v>7</v>
      </c>
      <c r="G14" s="212"/>
      <c r="H14" s="77"/>
      <c r="I14" s="78" t="s">
        <v>10</v>
      </c>
      <c r="J14" s="74">
        <v>7</v>
      </c>
      <c r="K14" s="79"/>
      <c r="L14" s="115"/>
      <c r="M14" s="115"/>
      <c r="N14" s="115"/>
      <c r="O14" s="115"/>
    </row>
    <row r="15" spans="1:15" ht="18" customHeight="1" x14ac:dyDescent="0.2">
      <c r="A15" s="238"/>
      <c r="B15" s="209"/>
      <c r="C15" s="15"/>
      <c r="D15" s="16" t="s">
        <v>7</v>
      </c>
      <c r="E15" s="73"/>
      <c r="F15" s="74">
        <v>7</v>
      </c>
      <c r="G15" s="212"/>
      <c r="H15" s="77"/>
      <c r="I15" s="78" t="s">
        <v>10</v>
      </c>
      <c r="J15" s="74">
        <v>7</v>
      </c>
      <c r="K15" s="79"/>
      <c r="L15" s="115"/>
      <c r="M15" s="115"/>
      <c r="N15" s="115"/>
      <c r="O15" s="115"/>
    </row>
    <row r="16" spans="1:15" ht="18.75" customHeight="1" thickBot="1" x14ac:dyDescent="0.25">
      <c r="A16" s="238"/>
      <c r="B16" s="210"/>
      <c r="C16" s="80"/>
      <c r="D16" s="81" t="s">
        <v>7</v>
      </c>
      <c r="E16" s="82"/>
      <c r="F16" s="83">
        <v>7</v>
      </c>
      <c r="G16" s="213"/>
      <c r="H16" s="84"/>
      <c r="I16" s="85" t="s">
        <v>10</v>
      </c>
      <c r="J16" s="83">
        <v>7</v>
      </c>
      <c r="K16" s="86"/>
      <c r="L16" s="115"/>
      <c r="M16" s="115"/>
      <c r="N16" s="115"/>
      <c r="O16" s="115"/>
    </row>
    <row r="17" spans="1:15" ht="18" customHeight="1" x14ac:dyDescent="0.2">
      <c r="A17" s="237">
        <v>45477</v>
      </c>
      <c r="B17" s="214" t="s">
        <v>16</v>
      </c>
      <c r="C17" s="87"/>
      <c r="D17" s="87" t="s">
        <v>7</v>
      </c>
      <c r="E17" s="88"/>
      <c r="F17" s="89">
        <v>7</v>
      </c>
      <c r="G17" s="217" t="s">
        <v>16</v>
      </c>
      <c r="H17" s="90"/>
      <c r="I17" s="90" t="s">
        <v>10</v>
      </c>
      <c r="J17" s="89">
        <v>0</v>
      </c>
      <c r="K17" s="91"/>
      <c r="L17" s="115"/>
      <c r="M17" s="115"/>
      <c r="N17" s="115"/>
      <c r="O17" s="115"/>
    </row>
    <row r="18" spans="1:15" ht="18" customHeight="1" x14ac:dyDescent="0.2">
      <c r="A18" s="238"/>
      <c r="B18" s="215"/>
      <c r="C18" s="92"/>
      <c r="D18" s="93" t="s">
        <v>7</v>
      </c>
      <c r="E18" s="94"/>
      <c r="F18" s="95">
        <v>7</v>
      </c>
      <c r="G18" s="218"/>
      <c r="H18" s="96"/>
      <c r="I18" s="97" t="s">
        <v>10</v>
      </c>
      <c r="J18" s="95">
        <v>7</v>
      </c>
      <c r="K18" s="98"/>
      <c r="L18" s="115"/>
      <c r="M18" s="115"/>
      <c r="N18" s="115"/>
      <c r="O18" s="115"/>
    </row>
    <row r="19" spans="1:15" ht="18" customHeight="1" x14ac:dyDescent="0.2">
      <c r="A19" s="238"/>
      <c r="B19" s="215"/>
      <c r="C19" s="92"/>
      <c r="D19" s="93" t="s">
        <v>7</v>
      </c>
      <c r="E19" s="94"/>
      <c r="F19" s="95">
        <v>7</v>
      </c>
      <c r="G19" s="218"/>
      <c r="H19" s="96"/>
      <c r="I19" s="97" t="s">
        <v>10</v>
      </c>
      <c r="J19" s="95">
        <v>7</v>
      </c>
      <c r="K19" s="98"/>
      <c r="L19" s="115"/>
      <c r="M19" s="115"/>
      <c r="N19" s="115"/>
      <c r="O19" s="115"/>
    </row>
    <row r="20" spans="1:15" ht="18.75" customHeight="1" thickBot="1" x14ac:dyDescent="0.25">
      <c r="A20" s="238"/>
      <c r="B20" s="216"/>
      <c r="C20" s="99"/>
      <c r="D20" s="100" t="s">
        <v>7</v>
      </c>
      <c r="E20" s="101"/>
      <c r="F20" s="102">
        <v>7</v>
      </c>
      <c r="G20" s="219"/>
      <c r="H20" s="103"/>
      <c r="I20" s="104" t="s">
        <v>10</v>
      </c>
      <c r="J20" s="102">
        <v>7</v>
      </c>
      <c r="K20" s="105"/>
      <c r="L20" s="115"/>
      <c r="M20" s="115"/>
      <c r="N20" s="115"/>
      <c r="O20" s="115"/>
    </row>
    <row r="21" spans="1:15" ht="18" customHeight="1" x14ac:dyDescent="0.35">
      <c r="A21" s="118"/>
      <c r="B21" s="106"/>
      <c r="C21" s="107"/>
      <c r="D21" s="194" t="s">
        <v>36</v>
      </c>
      <c r="E21" s="195"/>
      <c r="F21" s="108">
        <f>SUM(F5:F20)</f>
        <v>112</v>
      </c>
      <c r="G21" s="107"/>
      <c r="H21" s="185" t="s">
        <v>36</v>
      </c>
      <c r="I21" s="186"/>
      <c r="J21" s="108">
        <f>SUM(J5:J20)</f>
        <v>105</v>
      </c>
      <c r="K21" s="109"/>
      <c r="L21" s="115"/>
      <c r="M21" s="115"/>
      <c r="N21" s="115"/>
      <c r="O21" s="115"/>
    </row>
    <row r="22" spans="1:15" ht="18.75" customHeight="1" thickBot="1" x14ac:dyDescent="0.4">
      <c r="A22" s="119"/>
      <c r="B22" s="110"/>
      <c r="C22" s="111"/>
      <c r="D22" s="187" t="s">
        <v>21</v>
      </c>
      <c r="E22" s="188"/>
      <c r="F22" s="112">
        <f>F21/160*1</f>
        <v>0.7</v>
      </c>
      <c r="G22" s="111"/>
      <c r="H22" s="189" t="s">
        <v>22</v>
      </c>
      <c r="I22" s="190"/>
      <c r="J22" s="113">
        <f>J21/160*1</f>
        <v>0.65625</v>
      </c>
      <c r="K22" s="114"/>
      <c r="L22" s="115"/>
      <c r="M22" s="115"/>
      <c r="N22" s="115"/>
      <c r="O22" s="115"/>
    </row>
    <row r="23" spans="1:15" ht="18.75" customHeight="1" thickBot="1" x14ac:dyDescent="0.4">
      <c r="A23" s="120">
        <v>2</v>
      </c>
      <c r="B23" s="115"/>
      <c r="C23" s="115"/>
      <c r="D23" s="115"/>
      <c r="E23" s="115"/>
      <c r="F23" s="116"/>
      <c r="G23" s="115"/>
      <c r="H23" s="115"/>
      <c r="I23" s="117"/>
      <c r="J23" s="116"/>
      <c r="K23" s="115"/>
      <c r="L23" s="115"/>
      <c r="M23" s="115"/>
      <c r="N23" s="115"/>
      <c r="O23" s="115"/>
    </row>
    <row r="24" spans="1:15" ht="21" thickBot="1" x14ac:dyDescent="0.35">
      <c r="A24" s="244" t="s">
        <v>25</v>
      </c>
      <c r="B24" s="191" t="s">
        <v>0</v>
      </c>
      <c r="C24" s="192"/>
      <c r="D24" s="192"/>
      <c r="E24" s="192"/>
      <c r="F24" s="192"/>
      <c r="G24" s="192"/>
      <c r="H24" s="192"/>
      <c r="I24" s="192"/>
      <c r="J24" s="192"/>
      <c r="K24" s="193"/>
      <c r="L24" s="115"/>
      <c r="M24" s="115"/>
      <c r="N24" s="115"/>
      <c r="O24" s="115"/>
    </row>
    <row r="25" spans="1:15" ht="21" thickBot="1" x14ac:dyDescent="0.35">
      <c r="A25" s="245"/>
      <c r="B25" s="196" t="s">
        <v>17</v>
      </c>
      <c r="C25" s="197"/>
      <c r="D25" s="197"/>
      <c r="E25" s="197"/>
      <c r="F25" s="198"/>
      <c r="G25" s="199" t="s">
        <v>1</v>
      </c>
      <c r="H25" s="200"/>
      <c r="I25" s="200"/>
      <c r="J25" s="200"/>
      <c r="K25" s="201"/>
      <c r="L25" s="115"/>
      <c r="M25" s="115"/>
      <c r="N25" s="115"/>
      <c r="O25" s="115"/>
    </row>
    <row r="26" spans="1:15" ht="41.25" thickBot="1" x14ac:dyDescent="0.25">
      <c r="A26" s="246"/>
      <c r="B26" s="2" t="s">
        <v>2</v>
      </c>
      <c r="C26" s="3" t="s">
        <v>6</v>
      </c>
      <c r="D26" s="3" t="s">
        <v>7</v>
      </c>
      <c r="E26" s="3" t="s">
        <v>8</v>
      </c>
      <c r="F26" s="4" t="s">
        <v>19</v>
      </c>
      <c r="G26" s="5" t="s">
        <v>2</v>
      </c>
      <c r="H26" s="6" t="s">
        <v>3</v>
      </c>
      <c r="I26" s="6" t="s">
        <v>4</v>
      </c>
      <c r="J26" s="7" t="s">
        <v>18</v>
      </c>
      <c r="K26" s="8" t="s">
        <v>5</v>
      </c>
      <c r="L26" s="115"/>
      <c r="M26" s="115"/>
      <c r="N26" s="115"/>
      <c r="O26" s="115"/>
    </row>
    <row r="27" spans="1:15" ht="18" x14ac:dyDescent="0.2">
      <c r="A27" s="237">
        <v>45479</v>
      </c>
      <c r="B27" s="220" t="s">
        <v>9</v>
      </c>
      <c r="C27" s="9"/>
      <c r="D27" s="9" t="s">
        <v>7</v>
      </c>
      <c r="E27" s="10"/>
      <c r="F27" s="11" t="s">
        <v>39</v>
      </c>
      <c r="G27" s="223" t="s">
        <v>9</v>
      </c>
      <c r="H27" s="12"/>
      <c r="I27" s="12" t="s">
        <v>10</v>
      </c>
      <c r="J27" s="11">
        <v>7</v>
      </c>
      <c r="K27" s="13"/>
      <c r="L27" s="115"/>
      <c r="M27" s="115"/>
      <c r="N27" s="115"/>
      <c r="O27" s="115"/>
    </row>
    <row r="28" spans="1:15" ht="18" x14ac:dyDescent="0.2">
      <c r="A28" s="238"/>
      <c r="B28" s="221"/>
      <c r="C28" s="14"/>
      <c r="D28" s="9" t="s">
        <v>7</v>
      </c>
      <c r="E28" s="10"/>
      <c r="F28" s="11">
        <v>7</v>
      </c>
      <c r="G28" s="224"/>
      <c r="H28" s="15"/>
      <c r="I28" s="16" t="s">
        <v>10</v>
      </c>
      <c r="J28" s="11">
        <v>7</v>
      </c>
      <c r="K28" s="17"/>
      <c r="L28" s="115"/>
      <c r="M28" s="115"/>
      <c r="N28" s="115"/>
      <c r="O28" s="115"/>
    </row>
    <row r="29" spans="1:15" ht="18" x14ac:dyDescent="0.2">
      <c r="A29" s="238"/>
      <c r="B29" s="221"/>
      <c r="C29" s="14"/>
      <c r="D29" s="9" t="s">
        <v>7</v>
      </c>
      <c r="E29" s="10"/>
      <c r="F29" s="11">
        <v>7</v>
      </c>
      <c r="G29" s="224"/>
      <c r="H29" s="15"/>
      <c r="I29" s="16" t="s">
        <v>10</v>
      </c>
      <c r="J29" s="11">
        <v>7</v>
      </c>
      <c r="K29" s="17"/>
      <c r="L29" s="115"/>
      <c r="M29" s="115"/>
      <c r="N29" s="115"/>
      <c r="O29" s="115"/>
    </row>
    <row r="30" spans="1:15" ht="18.75" thickBot="1" x14ac:dyDescent="0.25">
      <c r="A30" s="238"/>
      <c r="B30" s="222"/>
      <c r="C30" s="18"/>
      <c r="D30" s="19" t="s">
        <v>7</v>
      </c>
      <c r="E30" s="20"/>
      <c r="F30" s="21">
        <v>7</v>
      </c>
      <c r="G30" s="225"/>
      <c r="H30" s="22"/>
      <c r="I30" s="23" t="s">
        <v>10</v>
      </c>
      <c r="J30" s="21">
        <v>7</v>
      </c>
      <c r="K30" s="24"/>
      <c r="L30" s="115"/>
      <c r="M30" s="115"/>
      <c r="N30" s="115"/>
      <c r="O30" s="115"/>
    </row>
    <row r="31" spans="1:15" ht="18" customHeight="1" x14ac:dyDescent="0.2">
      <c r="A31" s="237">
        <v>45480</v>
      </c>
      <c r="B31" s="226" t="s">
        <v>12</v>
      </c>
      <c r="C31" s="25"/>
      <c r="D31" s="25" t="s">
        <v>7</v>
      </c>
      <c r="E31" s="26"/>
      <c r="F31" s="27">
        <v>7</v>
      </c>
      <c r="G31" s="229" t="s">
        <v>12</v>
      </c>
      <c r="H31" s="28"/>
      <c r="I31" s="28" t="s">
        <v>10</v>
      </c>
      <c r="J31" s="27">
        <v>7</v>
      </c>
      <c r="K31" s="29"/>
      <c r="L31" s="115"/>
      <c r="M31" s="115"/>
      <c r="N31" s="115"/>
      <c r="O31" s="115"/>
    </row>
    <row r="32" spans="1:15" ht="18" customHeight="1" x14ac:dyDescent="0.2">
      <c r="A32" s="238"/>
      <c r="B32" s="227"/>
      <c r="C32" s="30"/>
      <c r="D32" s="31" t="s">
        <v>7</v>
      </c>
      <c r="E32" s="32"/>
      <c r="F32" s="33">
        <v>7</v>
      </c>
      <c r="G32" s="230"/>
      <c r="H32" s="34"/>
      <c r="I32" s="35" t="s">
        <v>10</v>
      </c>
      <c r="J32" s="33">
        <v>7</v>
      </c>
      <c r="K32" s="36"/>
      <c r="L32" s="115"/>
      <c r="M32" s="115"/>
      <c r="N32" s="115"/>
      <c r="O32" s="115"/>
    </row>
    <row r="33" spans="1:15" ht="18" customHeight="1" x14ac:dyDescent="0.2">
      <c r="A33" s="238"/>
      <c r="B33" s="227"/>
      <c r="C33" s="30"/>
      <c r="D33" s="31" t="s">
        <v>7</v>
      </c>
      <c r="E33" s="32"/>
      <c r="F33" s="33">
        <v>7</v>
      </c>
      <c r="G33" s="230"/>
      <c r="H33" s="34"/>
      <c r="I33" s="35" t="s">
        <v>10</v>
      </c>
      <c r="J33" s="33">
        <v>7</v>
      </c>
      <c r="K33" s="36"/>
      <c r="L33" s="115"/>
      <c r="M33" s="115"/>
      <c r="N33" s="115"/>
      <c r="O33" s="115"/>
    </row>
    <row r="34" spans="1:15" ht="18.75" customHeight="1" thickBot="1" x14ac:dyDescent="0.25">
      <c r="A34" s="238"/>
      <c r="B34" s="228"/>
      <c r="C34" s="37"/>
      <c r="D34" s="38" t="s">
        <v>7</v>
      </c>
      <c r="E34" s="39"/>
      <c r="F34" s="40">
        <v>7</v>
      </c>
      <c r="G34" s="231"/>
      <c r="H34" s="41"/>
      <c r="I34" s="42" t="s">
        <v>10</v>
      </c>
      <c r="J34" s="40">
        <v>7</v>
      </c>
      <c r="K34" s="43"/>
      <c r="L34" s="115"/>
      <c r="M34" s="115"/>
      <c r="N34" s="115"/>
      <c r="O34" s="115"/>
    </row>
    <row r="35" spans="1:15" ht="18" customHeight="1" x14ac:dyDescent="0.2">
      <c r="A35" s="237">
        <v>45481</v>
      </c>
      <c r="B35" s="232" t="s">
        <v>13</v>
      </c>
      <c r="C35" s="44"/>
      <c r="D35" s="44" t="s">
        <v>7</v>
      </c>
      <c r="E35" s="45"/>
      <c r="F35" s="46">
        <v>7</v>
      </c>
      <c r="G35" s="185" t="s">
        <v>13</v>
      </c>
      <c r="H35" s="47"/>
      <c r="I35" s="47" t="s">
        <v>10</v>
      </c>
      <c r="J35" s="46">
        <v>7</v>
      </c>
      <c r="K35" s="48"/>
      <c r="L35" s="115"/>
      <c r="M35" s="115"/>
      <c r="N35" s="115"/>
      <c r="O35" s="115"/>
    </row>
    <row r="36" spans="1:15" ht="18" customHeight="1" x14ac:dyDescent="0.2">
      <c r="A36" s="238"/>
      <c r="B36" s="233"/>
      <c r="C36" s="49"/>
      <c r="D36" s="44" t="s">
        <v>7</v>
      </c>
      <c r="E36" s="45"/>
      <c r="F36" s="46">
        <v>7</v>
      </c>
      <c r="G36" s="235"/>
      <c r="H36" s="50"/>
      <c r="I36" s="51" t="s">
        <v>10</v>
      </c>
      <c r="J36" s="46">
        <v>7</v>
      </c>
      <c r="K36" s="52"/>
      <c r="L36" s="115"/>
      <c r="M36" s="115"/>
      <c r="N36" s="115"/>
      <c r="O36" s="115"/>
    </row>
    <row r="37" spans="1:15" ht="18" customHeight="1" x14ac:dyDescent="0.2">
      <c r="A37" s="238"/>
      <c r="B37" s="233"/>
      <c r="C37" s="49"/>
      <c r="D37" s="44" t="s">
        <v>7</v>
      </c>
      <c r="E37" s="45"/>
      <c r="F37" s="46">
        <v>7</v>
      </c>
      <c r="G37" s="235"/>
      <c r="H37" s="50"/>
      <c r="I37" s="51" t="s">
        <v>10</v>
      </c>
      <c r="J37" s="46">
        <v>7</v>
      </c>
      <c r="K37" s="52"/>
      <c r="L37" s="115"/>
      <c r="M37" s="115"/>
      <c r="N37" s="115"/>
      <c r="O37" s="115"/>
    </row>
    <row r="38" spans="1:15" ht="18.75" customHeight="1" thickBot="1" x14ac:dyDescent="0.25">
      <c r="A38" s="238"/>
      <c r="B38" s="234"/>
      <c r="C38" s="53"/>
      <c r="D38" s="54" t="s">
        <v>7</v>
      </c>
      <c r="E38" s="55"/>
      <c r="F38" s="56">
        <v>7</v>
      </c>
      <c r="G38" s="236"/>
      <c r="H38" s="57"/>
      <c r="I38" s="58" t="s">
        <v>10</v>
      </c>
      <c r="J38" s="56">
        <v>7</v>
      </c>
      <c r="K38" s="59"/>
      <c r="L38" s="115"/>
      <c r="M38" s="115"/>
      <c r="N38" s="115"/>
      <c r="O38" s="115"/>
    </row>
    <row r="39" spans="1:15" ht="18" customHeight="1" x14ac:dyDescent="0.2">
      <c r="A39" s="237">
        <v>45482</v>
      </c>
      <c r="B39" s="202" t="s">
        <v>14</v>
      </c>
      <c r="C39" s="60"/>
      <c r="D39" s="60" t="s">
        <v>7</v>
      </c>
      <c r="E39" s="61"/>
      <c r="F39" s="62">
        <v>7</v>
      </c>
      <c r="G39" s="205" t="s">
        <v>14</v>
      </c>
      <c r="H39" s="44"/>
      <c r="I39" s="44" t="s">
        <v>10</v>
      </c>
      <c r="J39" s="62">
        <v>7</v>
      </c>
      <c r="K39" s="45"/>
      <c r="L39" s="115"/>
      <c r="M39" s="115"/>
      <c r="N39" s="115"/>
      <c r="O39" s="115"/>
    </row>
    <row r="40" spans="1:15" ht="18" customHeight="1" x14ac:dyDescent="0.2">
      <c r="A40" s="238"/>
      <c r="B40" s="203"/>
      <c r="C40" s="63"/>
      <c r="D40" s="64" t="s">
        <v>7</v>
      </c>
      <c r="E40" s="65"/>
      <c r="F40" s="66">
        <v>7</v>
      </c>
      <c r="G40" s="206"/>
      <c r="H40" s="49"/>
      <c r="I40" s="44" t="s">
        <v>10</v>
      </c>
      <c r="J40" s="66">
        <v>7</v>
      </c>
      <c r="K40" s="67"/>
      <c r="L40" s="115"/>
      <c r="M40" s="115"/>
      <c r="N40" s="115"/>
      <c r="O40" s="115"/>
    </row>
    <row r="41" spans="1:15" ht="18" customHeight="1" x14ac:dyDescent="0.2">
      <c r="A41" s="238"/>
      <c r="B41" s="203"/>
      <c r="C41" s="63"/>
      <c r="D41" s="64" t="s">
        <v>7</v>
      </c>
      <c r="E41" s="65"/>
      <c r="F41" s="66">
        <v>7</v>
      </c>
      <c r="G41" s="206"/>
      <c r="H41" s="49"/>
      <c r="I41" s="44" t="s">
        <v>10</v>
      </c>
      <c r="J41" s="66">
        <v>7</v>
      </c>
      <c r="K41" s="67"/>
      <c r="L41" s="115"/>
      <c r="M41" s="115"/>
      <c r="N41" s="115"/>
      <c r="O41" s="115"/>
    </row>
    <row r="42" spans="1:15" ht="18.75" customHeight="1" thickBot="1" x14ac:dyDescent="0.25">
      <c r="A42" s="238"/>
      <c r="B42" s="204"/>
      <c r="C42" s="68"/>
      <c r="D42" s="69" t="s">
        <v>7</v>
      </c>
      <c r="E42" s="70"/>
      <c r="F42" s="71">
        <v>7</v>
      </c>
      <c r="G42" s="207"/>
      <c r="H42" s="53"/>
      <c r="I42" s="54" t="s">
        <v>10</v>
      </c>
      <c r="J42" s="71">
        <v>7</v>
      </c>
      <c r="K42" s="72"/>
      <c r="L42" s="115"/>
      <c r="M42" s="115"/>
      <c r="N42" s="115"/>
      <c r="O42" s="115"/>
    </row>
    <row r="43" spans="1:15" ht="18" customHeight="1" x14ac:dyDescent="0.2">
      <c r="A43" s="237">
        <v>45483</v>
      </c>
      <c r="B43" s="208" t="s">
        <v>15</v>
      </c>
      <c r="C43" s="16"/>
      <c r="D43" s="16" t="s">
        <v>7</v>
      </c>
      <c r="E43" s="73"/>
      <c r="F43" s="74">
        <v>7</v>
      </c>
      <c r="G43" s="211" t="s">
        <v>15</v>
      </c>
      <c r="H43" s="75"/>
      <c r="I43" s="75" t="s">
        <v>10</v>
      </c>
      <c r="J43" s="74">
        <v>7</v>
      </c>
      <c r="K43" s="76"/>
      <c r="L43" s="115"/>
      <c r="M43" s="115"/>
      <c r="N43" s="115"/>
      <c r="O43" s="115"/>
    </row>
    <row r="44" spans="1:15" ht="18" customHeight="1" x14ac:dyDescent="0.2">
      <c r="A44" s="238"/>
      <c r="B44" s="209"/>
      <c r="C44" s="15"/>
      <c r="D44" s="16" t="s">
        <v>7</v>
      </c>
      <c r="E44" s="73"/>
      <c r="F44" s="74">
        <v>7</v>
      </c>
      <c r="G44" s="212"/>
      <c r="H44" s="77"/>
      <c r="I44" s="78" t="s">
        <v>10</v>
      </c>
      <c r="J44" s="74">
        <v>7</v>
      </c>
      <c r="K44" s="79"/>
      <c r="L44" s="115"/>
      <c r="M44" s="115"/>
      <c r="N44" s="115"/>
      <c r="O44" s="115"/>
    </row>
    <row r="45" spans="1:15" ht="18" customHeight="1" x14ac:dyDescent="0.2">
      <c r="A45" s="238"/>
      <c r="B45" s="209"/>
      <c r="C45" s="15"/>
      <c r="D45" s="16" t="s">
        <v>7</v>
      </c>
      <c r="E45" s="73"/>
      <c r="F45" s="74">
        <v>7</v>
      </c>
      <c r="G45" s="212"/>
      <c r="H45" s="77"/>
      <c r="I45" s="78" t="s">
        <v>10</v>
      </c>
      <c r="J45" s="74">
        <v>7</v>
      </c>
      <c r="K45" s="79"/>
      <c r="L45" s="115"/>
      <c r="M45" s="115"/>
      <c r="N45" s="115"/>
      <c r="O45" s="115"/>
    </row>
    <row r="46" spans="1:15" ht="18.75" customHeight="1" thickBot="1" x14ac:dyDescent="0.25">
      <c r="A46" s="238"/>
      <c r="B46" s="210"/>
      <c r="C46" s="80"/>
      <c r="D46" s="81" t="s">
        <v>7</v>
      </c>
      <c r="E46" s="82"/>
      <c r="F46" s="83">
        <v>7</v>
      </c>
      <c r="G46" s="213"/>
      <c r="H46" s="84"/>
      <c r="I46" s="85" t="s">
        <v>10</v>
      </c>
      <c r="J46" s="83">
        <v>7</v>
      </c>
      <c r="K46" s="86"/>
      <c r="L46" s="115"/>
      <c r="M46" s="115"/>
      <c r="N46" s="115"/>
      <c r="O46" s="115"/>
    </row>
    <row r="47" spans="1:15" ht="18" customHeight="1" x14ac:dyDescent="0.2">
      <c r="A47" s="237">
        <v>45484</v>
      </c>
      <c r="B47" s="214" t="s">
        <v>16</v>
      </c>
      <c r="C47" s="87"/>
      <c r="D47" s="87" t="s">
        <v>7</v>
      </c>
      <c r="E47" s="88"/>
      <c r="F47" s="89">
        <v>7</v>
      </c>
      <c r="G47" s="217" t="s">
        <v>16</v>
      </c>
      <c r="H47" s="90"/>
      <c r="I47" s="90" t="s">
        <v>10</v>
      </c>
      <c r="J47" s="89">
        <v>0</v>
      </c>
      <c r="K47" s="91"/>
      <c r="L47" s="115"/>
      <c r="M47" s="115"/>
      <c r="N47" s="115"/>
      <c r="O47" s="115"/>
    </row>
    <row r="48" spans="1:15" ht="18" customHeight="1" x14ac:dyDescent="0.2">
      <c r="A48" s="238"/>
      <c r="B48" s="215"/>
      <c r="C48" s="92"/>
      <c r="D48" s="93" t="s">
        <v>7</v>
      </c>
      <c r="E48" s="94"/>
      <c r="F48" s="95">
        <v>7</v>
      </c>
      <c r="G48" s="218"/>
      <c r="H48" s="96"/>
      <c r="I48" s="97" t="s">
        <v>10</v>
      </c>
      <c r="J48" s="95">
        <v>7</v>
      </c>
      <c r="K48" s="98"/>
      <c r="L48" s="115"/>
      <c r="M48" s="115"/>
      <c r="N48" s="115"/>
      <c r="O48" s="115"/>
    </row>
    <row r="49" spans="1:15" ht="18" customHeight="1" x14ac:dyDescent="0.2">
      <c r="A49" s="238"/>
      <c r="B49" s="215"/>
      <c r="C49" s="92"/>
      <c r="D49" s="93" t="s">
        <v>7</v>
      </c>
      <c r="E49" s="94"/>
      <c r="F49" s="95">
        <v>7</v>
      </c>
      <c r="G49" s="218"/>
      <c r="H49" s="96"/>
      <c r="I49" s="97" t="s">
        <v>10</v>
      </c>
      <c r="J49" s="95">
        <v>7</v>
      </c>
      <c r="K49" s="98"/>
      <c r="L49" s="115"/>
      <c r="M49" s="115"/>
      <c r="N49" s="115"/>
      <c r="O49" s="115"/>
    </row>
    <row r="50" spans="1:15" ht="18.75" customHeight="1" thickBot="1" x14ac:dyDescent="0.25">
      <c r="A50" s="238"/>
      <c r="B50" s="216"/>
      <c r="C50" s="99"/>
      <c r="D50" s="100" t="s">
        <v>7</v>
      </c>
      <c r="E50" s="101"/>
      <c r="F50" s="102">
        <v>7</v>
      </c>
      <c r="G50" s="219"/>
      <c r="H50" s="103"/>
      <c r="I50" s="104" t="s">
        <v>10</v>
      </c>
      <c r="J50" s="102">
        <v>7</v>
      </c>
      <c r="K50" s="105"/>
      <c r="L50" s="115"/>
      <c r="M50" s="115"/>
      <c r="N50" s="115"/>
      <c r="O50" s="115"/>
    </row>
    <row r="51" spans="1:15" ht="23.25" x14ac:dyDescent="0.35">
      <c r="A51" s="118"/>
      <c r="B51" s="106"/>
      <c r="C51" s="107"/>
      <c r="D51" s="194" t="s">
        <v>20</v>
      </c>
      <c r="E51" s="195"/>
      <c r="F51" s="108">
        <f>SUM(F27:F50)</f>
        <v>161</v>
      </c>
      <c r="G51" s="107"/>
      <c r="H51" s="185" t="s">
        <v>20</v>
      </c>
      <c r="I51" s="186"/>
      <c r="J51" s="108">
        <f>SUM(J27:J50)</f>
        <v>161</v>
      </c>
      <c r="K51" s="109"/>
      <c r="L51" s="115"/>
      <c r="M51" s="115"/>
      <c r="N51" s="115"/>
      <c r="O51" s="115"/>
    </row>
    <row r="52" spans="1:15" ht="24" thickBot="1" x14ac:dyDescent="0.4">
      <c r="A52" s="119"/>
      <c r="B52" s="110"/>
      <c r="C52" s="111"/>
      <c r="D52" s="187" t="s">
        <v>21</v>
      </c>
      <c r="E52" s="188"/>
      <c r="F52" s="112">
        <f>F51/240*1</f>
        <v>0.67083333333333328</v>
      </c>
      <c r="G52" s="111"/>
      <c r="H52" s="189" t="s">
        <v>22</v>
      </c>
      <c r="I52" s="190"/>
      <c r="J52" s="113">
        <f>J51/240*1</f>
        <v>0.67083333333333328</v>
      </c>
      <c r="K52" s="114"/>
      <c r="L52" s="115"/>
      <c r="M52" s="115"/>
      <c r="N52" s="115"/>
      <c r="O52" s="115"/>
    </row>
    <row r="53" spans="1:15" ht="24" thickBot="1" x14ac:dyDescent="0.4">
      <c r="A53" s="120">
        <v>3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</row>
    <row r="54" spans="1:15" ht="21" thickBot="1" x14ac:dyDescent="0.35">
      <c r="A54" s="244" t="s">
        <v>25</v>
      </c>
      <c r="B54" s="191" t="s">
        <v>0</v>
      </c>
      <c r="C54" s="192"/>
      <c r="D54" s="192"/>
      <c r="E54" s="192"/>
      <c r="F54" s="192"/>
      <c r="G54" s="192"/>
      <c r="H54" s="192"/>
      <c r="I54" s="192"/>
      <c r="J54" s="192"/>
      <c r="K54" s="193"/>
      <c r="L54" s="115"/>
      <c r="M54" s="115"/>
      <c r="N54" s="115"/>
      <c r="O54" s="115"/>
    </row>
    <row r="55" spans="1:15" ht="21" thickBot="1" x14ac:dyDescent="0.35">
      <c r="A55" s="245"/>
      <c r="B55" s="196" t="s">
        <v>17</v>
      </c>
      <c r="C55" s="197"/>
      <c r="D55" s="197"/>
      <c r="E55" s="197"/>
      <c r="F55" s="198"/>
      <c r="G55" s="199" t="s">
        <v>1</v>
      </c>
      <c r="H55" s="200"/>
      <c r="I55" s="200"/>
      <c r="J55" s="200"/>
      <c r="K55" s="201"/>
      <c r="L55" s="115"/>
      <c r="M55" s="115"/>
      <c r="N55" s="115"/>
      <c r="O55" s="115"/>
    </row>
    <row r="56" spans="1:15" ht="41.25" thickBot="1" x14ac:dyDescent="0.25">
      <c r="A56" s="246"/>
      <c r="B56" s="2" t="s">
        <v>2</v>
      </c>
      <c r="C56" s="3" t="s">
        <v>6</v>
      </c>
      <c r="D56" s="3" t="s">
        <v>7</v>
      </c>
      <c r="E56" s="3" t="s">
        <v>8</v>
      </c>
      <c r="F56" s="4" t="s">
        <v>19</v>
      </c>
      <c r="G56" s="5" t="s">
        <v>2</v>
      </c>
      <c r="H56" s="6" t="s">
        <v>3</v>
      </c>
      <c r="I56" s="6" t="s">
        <v>4</v>
      </c>
      <c r="J56" s="7" t="s">
        <v>18</v>
      </c>
      <c r="K56" s="8" t="s">
        <v>5</v>
      </c>
      <c r="L56" s="115"/>
      <c r="M56" s="115"/>
      <c r="N56" s="115"/>
      <c r="O56" s="115"/>
    </row>
    <row r="57" spans="1:15" ht="18" x14ac:dyDescent="0.2">
      <c r="A57" s="237">
        <v>45486</v>
      </c>
      <c r="B57" s="220" t="s">
        <v>9</v>
      </c>
      <c r="C57" s="9"/>
      <c r="D57" s="9" t="s">
        <v>7</v>
      </c>
      <c r="E57" s="10"/>
      <c r="F57" s="11">
        <v>7</v>
      </c>
      <c r="G57" s="223" t="s">
        <v>9</v>
      </c>
      <c r="H57" s="12"/>
      <c r="I57" s="12" t="s">
        <v>10</v>
      </c>
      <c r="J57" s="11">
        <v>7</v>
      </c>
      <c r="K57" s="13"/>
      <c r="L57" s="115"/>
      <c r="M57" s="115"/>
      <c r="N57" s="115"/>
      <c r="O57" s="115"/>
    </row>
    <row r="58" spans="1:15" ht="18" x14ac:dyDescent="0.2">
      <c r="A58" s="238"/>
      <c r="B58" s="221"/>
      <c r="C58" s="14"/>
      <c r="D58" s="9" t="s">
        <v>7</v>
      </c>
      <c r="E58" s="10"/>
      <c r="F58" s="11">
        <v>7</v>
      </c>
      <c r="G58" s="224"/>
      <c r="H58" s="15"/>
      <c r="I58" s="16" t="s">
        <v>10</v>
      </c>
      <c r="J58" s="11">
        <v>7</v>
      </c>
      <c r="K58" s="17"/>
      <c r="L58" s="115"/>
      <c r="M58" s="115"/>
      <c r="N58" s="115"/>
      <c r="O58" s="115"/>
    </row>
    <row r="59" spans="1:15" ht="18" x14ac:dyDescent="0.2">
      <c r="A59" s="238"/>
      <c r="B59" s="221"/>
      <c r="C59" s="14"/>
      <c r="D59" s="9" t="s">
        <v>7</v>
      </c>
      <c r="E59" s="10"/>
      <c r="F59" s="11">
        <v>7</v>
      </c>
      <c r="G59" s="224"/>
      <c r="H59" s="15"/>
      <c r="I59" s="16" t="s">
        <v>10</v>
      </c>
      <c r="J59" s="11">
        <v>7</v>
      </c>
      <c r="K59" s="17"/>
      <c r="L59" s="115"/>
      <c r="M59" s="115"/>
      <c r="N59" s="115"/>
      <c r="O59" s="115"/>
    </row>
    <row r="60" spans="1:15" ht="18.75" thickBot="1" x14ac:dyDescent="0.25">
      <c r="A60" s="238"/>
      <c r="B60" s="222"/>
      <c r="C60" s="18"/>
      <c r="D60" s="19" t="s">
        <v>7</v>
      </c>
      <c r="E60" s="20"/>
      <c r="F60" s="21">
        <v>7</v>
      </c>
      <c r="G60" s="225"/>
      <c r="H60" s="22"/>
      <c r="I60" s="23" t="s">
        <v>10</v>
      </c>
      <c r="J60" s="21">
        <v>7</v>
      </c>
      <c r="K60" s="24"/>
      <c r="L60" s="115"/>
      <c r="M60" s="115"/>
      <c r="N60" s="115"/>
      <c r="O60" s="115"/>
    </row>
    <row r="61" spans="1:15" ht="18" customHeight="1" x14ac:dyDescent="0.2">
      <c r="A61" s="237">
        <v>45487</v>
      </c>
      <c r="B61" s="226" t="s">
        <v>12</v>
      </c>
      <c r="C61" s="25"/>
      <c r="D61" s="25" t="s">
        <v>7</v>
      </c>
      <c r="E61" s="26"/>
      <c r="F61" s="27">
        <v>7</v>
      </c>
      <c r="G61" s="229" t="s">
        <v>12</v>
      </c>
      <c r="H61" s="28"/>
      <c r="I61" s="28" t="s">
        <v>10</v>
      </c>
      <c r="J61" s="27">
        <v>7</v>
      </c>
      <c r="K61" s="29"/>
      <c r="L61" s="115"/>
      <c r="M61" s="115"/>
      <c r="N61" s="115"/>
      <c r="O61" s="115"/>
    </row>
    <row r="62" spans="1:15" ht="18" customHeight="1" x14ac:dyDescent="0.2">
      <c r="A62" s="238"/>
      <c r="B62" s="227"/>
      <c r="C62" s="30"/>
      <c r="D62" s="31" t="s">
        <v>7</v>
      </c>
      <c r="E62" s="32"/>
      <c r="F62" s="33">
        <v>7</v>
      </c>
      <c r="G62" s="230"/>
      <c r="H62" s="34"/>
      <c r="I62" s="35" t="s">
        <v>10</v>
      </c>
      <c r="J62" s="33">
        <v>7</v>
      </c>
      <c r="K62" s="36"/>
      <c r="L62" s="115"/>
      <c r="M62" s="115"/>
      <c r="N62" s="115"/>
      <c r="O62" s="115"/>
    </row>
    <row r="63" spans="1:15" ht="18" customHeight="1" x14ac:dyDescent="0.2">
      <c r="A63" s="238"/>
      <c r="B63" s="227"/>
      <c r="C63" s="30"/>
      <c r="D63" s="31" t="s">
        <v>7</v>
      </c>
      <c r="E63" s="32"/>
      <c r="F63" s="33">
        <v>7</v>
      </c>
      <c r="G63" s="230"/>
      <c r="H63" s="34"/>
      <c r="I63" s="35" t="s">
        <v>10</v>
      </c>
      <c r="J63" s="33">
        <v>7</v>
      </c>
      <c r="K63" s="36"/>
      <c r="L63" s="115"/>
      <c r="M63" s="115"/>
      <c r="N63" s="115"/>
      <c r="O63" s="115"/>
    </row>
    <row r="64" spans="1:15" ht="18.75" customHeight="1" thickBot="1" x14ac:dyDescent="0.25">
      <c r="A64" s="238"/>
      <c r="B64" s="228"/>
      <c r="C64" s="37"/>
      <c r="D64" s="38" t="s">
        <v>7</v>
      </c>
      <c r="E64" s="39"/>
      <c r="F64" s="40">
        <v>7</v>
      </c>
      <c r="G64" s="231"/>
      <c r="H64" s="41"/>
      <c r="I64" s="42" t="s">
        <v>10</v>
      </c>
      <c r="J64" s="40">
        <v>7</v>
      </c>
      <c r="K64" s="43"/>
      <c r="L64" s="115"/>
      <c r="M64" s="115"/>
      <c r="N64" s="115"/>
      <c r="O64" s="115"/>
    </row>
    <row r="65" spans="1:15" ht="18" customHeight="1" x14ac:dyDescent="0.2">
      <c r="A65" s="237">
        <v>45488</v>
      </c>
      <c r="B65" s="232" t="s">
        <v>13</v>
      </c>
      <c r="C65" s="44"/>
      <c r="D65" s="44" t="s">
        <v>7</v>
      </c>
      <c r="E65" s="45"/>
      <c r="F65" s="46">
        <v>7</v>
      </c>
      <c r="G65" s="185" t="s">
        <v>13</v>
      </c>
      <c r="H65" s="47"/>
      <c r="I65" s="47" t="s">
        <v>10</v>
      </c>
      <c r="J65" s="46">
        <v>7</v>
      </c>
      <c r="K65" s="48"/>
      <c r="L65" s="115"/>
      <c r="M65" s="115"/>
      <c r="N65" s="115"/>
      <c r="O65" s="115"/>
    </row>
    <row r="66" spans="1:15" ht="18" customHeight="1" x14ac:dyDescent="0.2">
      <c r="A66" s="238"/>
      <c r="B66" s="233"/>
      <c r="C66" s="49"/>
      <c r="D66" s="44" t="s">
        <v>7</v>
      </c>
      <c r="E66" s="45"/>
      <c r="F66" s="46">
        <v>7</v>
      </c>
      <c r="G66" s="235"/>
      <c r="H66" s="50"/>
      <c r="I66" s="51" t="s">
        <v>10</v>
      </c>
      <c r="J66" s="46">
        <v>7</v>
      </c>
      <c r="K66" s="52"/>
      <c r="L66" s="115"/>
      <c r="M66" s="115"/>
      <c r="N66" s="115"/>
      <c r="O66" s="115"/>
    </row>
    <row r="67" spans="1:15" ht="18" customHeight="1" x14ac:dyDescent="0.2">
      <c r="A67" s="238"/>
      <c r="B67" s="233"/>
      <c r="C67" s="49"/>
      <c r="D67" s="44" t="s">
        <v>7</v>
      </c>
      <c r="E67" s="45"/>
      <c r="F67" s="46">
        <v>7</v>
      </c>
      <c r="G67" s="235"/>
      <c r="H67" s="50"/>
      <c r="I67" s="51" t="s">
        <v>10</v>
      </c>
      <c r="J67" s="46">
        <v>7</v>
      </c>
      <c r="K67" s="52"/>
      <c r="L67" s="115"/>
      <c r="M67" s="115"/>
      <c r="N67" s="115"/>
      <c r="O67" s="115"/>
    </row>
    <row r="68" spans="1:15" ht="18.75" customHeight="1" thickBot="1" x14ac:dyDescent="0.25">
      <c r="A68" s="238"/>
      <c r="B68" s="234"/>
      <c r="C68" s="53"/>
      <c r="D68" s="54" t="s">
        <v>7</v>
      </c>
      <c r="E68" s="55"/>
      <c r="F68" s="56">
        <v>7</v>
      </c>
      <c r="G68" s="236"/>
      <c r="H68" s="57"/>
      <c r="I68" s="58" t="s">
        <v>10</v>
      </c>
      <c r="J68" s="56">
        <v>7</v>
      </c>
      <c r="K68" s="59"/>
      <c r="L68" s="115"/>
      <c r="M68" s="115"/>
      <c r="N68" s="115"/>
      <c r="O68" s="115"/>
    </row>
    <row r="69" spans="1:15" ht="18" customHeight="1" x14ac:dyDescent="0.2">
      <c r="A69" s="237">
        <v>45489</v>
      </c>
      <c r="B69" s="202" t="s">
        <v>14</v>
      </c>
      <c r="C69" s="60"/>
      <c r="D69" s="60" t="s">
        <v>7</v>
      </c>
      <c r="E69" s="61"/>
      <c r="F69" s="62">
        <v>7</v>
      </c>
      <c r="G69" s="205" t="s">
        <v>14</v>
      </c>
      <c r="H69" s="44"/>
      <c r="I69" s="44" t="s">
        <v>10</v>
      </c>
      <c r="J69" s="62">
        <v>7</v>
      </c>
      <c r="K69" s="45"/>
      <c r="L69" s="115"/>
      <c r="M69" s="115"/>
      <c r="N69" s="115"/>
      <c r="O69" s="115"/>
    </row>
    <row r="70" spans="1:15" ht="18" customHeight="1" x14ac:dyDescent="0.2">
      <c r="A70" s="238"/>
      <c r="B70" s="203"/>
      <c r="C70" s="63"/>
      <c r="D70" s="64" t="s">
        <v>7</v>
      </c>
      <c r="E70" s="65"/>
      <c r="F70" s="66">
        <v>7</v>
      </c>
      <c r="G70" s="206"/>
      <c r="H70" s="49"/>
      <c r="I70" s="44" t="s">
        <v>10</v>
      </c>
      <c r="J70" s="66">
        <v>7</v>
      </c>
      <c r="K70" s="67"/>
      <c r="L70" s="115"/>
      <c r="M70" s="115"/>
      <c r="N70" s="115"/>
      <c r="O70" s="115"/>
    </row>
    <row r="71" spans="1:15" ht="18" customHeight="1" x14ac:dyDescent="0.2">
      <c r="A71" s="238"/>
      <c r="B71" s="203"/>
      <c r="C71" s="63"/>
      <c r="D71" s="64" t="s">
        <v>7</v>
      </c>
      <c r="E71" s="65"/>
      <c r="F71" s="66">
        <v>7</v>
      </c>
      <c r="G71" s="206"/>
      <c r="H71" s="49"/>
      <c r="I71" s="44" t="s">
        <v>10</v>
      </c>
      <c r="J71" s="66">
        <v>7</v>
      </c>
      <c r="K71" s="67"/>
      <c r="L71" s="115"/>
      <c r="M71" s="115"/>
      <c r="N71" s="115"/>
      <c r="O71" s="115"/>
    </row>
    <row r="72" spans="1:15" ht="18.75" customHeight="1" thickBot="1" x14ac:dyDescent="0.25">
      <c r="A72" s="238"/>
      <c r="B72" s="204"/>
      <c r="C72" s="68"/>
      <c r="D72" s="69" t="s">
        <v>7</v>
      </c>
      <c r="E72" s="70"/>
      <c r="F72" s="71">
        <v>7</v>
      </c>
      <c r="G72" s="207"/>
      <c r="H72" s="53"/>
      <c r="I72" s="54" t="s">
        <v>10</v>
      </c>
      <c r="J72" s="71">
        <v>7</v>
      </c>
      <c r="K72" s="72"/>
      <c r="L72" s="115"/>
      <c r="M72" s="115"/>
      <c r="N72" s="115"/>
      <c r="O72" s="115"/>
    </row>
    <row r="73" spans="1:15" ht="18" customHeight="1" x14ac:dyDescent="0.2">
      <c r="A73" s="237">
        <v>45490</v>
      </c>
      <c r="B73" s="208" t="s">
        <v>15</v>
      </c>
      <c r="C73" s="16"/>
      <c r="D73" s="16" t="s">
        <v>7</v>
      </c>
      <c r="E73" s="73"/>
      <c r="F73" s="74">
        <v>7</v>
      </c>
      <c r="G73" s="211" t="s">
        <v>15</v>
      </c>
      <c r="H73" s="75"/>
      <c r="I73" s="75" t="s">
        <v>10</v>
      </c>
      <c r="J73" s="74">
        <v>7</v>
      </c>
      <c r="K73" s="76"/>
      <c r="L73" s="115"/>
      <c r="M73" s="115"/>
      <c r="N73" s="115"/>
      <c r="O73" s="115"/>
    </row>
    <row r="74" spans="1:15" ht="18" customHeight="1" x14ac:dyDescent="0.2">
      <c r="A74" s="238"/>
      <c r="B74" s="209"/>
      <c r="C74" s="15"/>
      <c r="D74" s="16" t="s">
        <v>7</v>
      </c>
      <c r="E74" s="73"/>
      <c r="F74" s="74">
        <v>7</v>
      </c>
      <c r="G74" s="212"/>
      <c r="H74" s="77"/>
      <c r="I74" s="78" t="s">
        <v>10</v>
      </c>
      <c r="J74" s="74">
        <v>7</v>
      </c>
      <c r="K74" s="79"/>
      <c r="L74" s="115"/>
      <c r="M74" s="115"/>
      <c r="N74" s="115"/>
      <c r="O74" s="115"/>
    </row>
    <row r="75" spans="1:15" ht="18" customHeight="1" x14ac:dyDescent="0.2">
      <c r="A75" s="238"/>
      <c r="B75" s="209"/>
      <c r="C75" s="15"/>
      <c r="D75" s="16" t="s">
        <v>7</v>
      </c>
      <c r="E75" s="73"/>
      <c r="F75" s="74">
        <v>7</v>
      </c>
      <c r="G75" s="212"/>
      <c r="H75" s="77"/>
      <c r="I75" s="78" t="s">
        <v>10</v>
      </c>
      <c r="J75" s="74">
        <v>7</v>
      </c>
      <c r="K75" s="79"/>
      <c r="L75" s="115"/>
      <c r="M75" s="115"/>
      <c r="N75" s="115"/>
      <c r="O75" s="115"/>
    </row>
    <row r="76" spans="1:15" ht="18.75" customHeight="1" thickBot="1" x14ac:dyDescent="0.25">
      <c r="A76" s="238"/>
      <c r="B76" s="210"/>
      <c r="C76" s="80"/>
      <c r="D76" s="81" t="s">
        <v>7</v>
      </c>
      <c r="E76" s="82"/>
      <c r="F76" s="83">
        <v>7</v>
      </c>
      <c r="G76" s="213"/>
      <c r="H76" s="84"/>
      <c r="I76" s="85" t="s">
        <v>10</v>
      </c>
      <c r="J76" s="83">
        <v>7</v>
      </c>
      <c r="K76" s="86"/>
      <c r="L76" s="115"/>
      <c r="M76" s="115"/>
      <c r="N76" s="115"/>
      <c r="O76" s="115"/>
    </row>
    <row r="77" spans="1:15" ht="18" customHeight="1" x14ac:dyDescent="0.2">
      <c r="A77" s="237">
        <v>45491</v>
      </c>
      <c r="B77" s="214" t="s">
        <v>16</v>
      </c>
      <c r="C77" s="87"/>
      <c r="D77" s="87" t="s">
        <v>7</v>
      </c>
      <c r="E77" s="88"/>
      <c r="F77" s="89">
        <v>7</v>
      </c>
      <c r="G77" s="217" t="s">
        <v>16</v>
      </c>
      <c r="H77" s="90"/>
      <c r="I77" s="90" t="s">
        <v>10</v>
      </c>
      <c r="J77" s="89">
        <v>0</v>
      </c>
      <c r="K77" s="91"/>
      <c r="L77" s="115"/>
      <c r="M77" s="115"/>
      <c r="N77" s="115"/>
      <c r="O77" s="115"/>
    </row>
    <row r="78" spans="1:15" ht="18" customHeight="1" x14ac:dyDescent="0.2">
      <c r="A78" s="238"/>
      <c r="B78" s="215"/>
      <c r="C78" s="92"/>
      <c r="D78" s="93" t="s">
        <v>7</v>
      </c>
      <c r="E78" s="94"/>
      <c r="F78" s="95">
        <v>7</v>
      </c>
      <c r="G78" s="218"/>
      <c r="H78" s="96"/>
      <c r="I78" s="97" t="s">
        <v>10</v>
      </c>
      <c r="J78" s="95">
        <v>7</v>
      </c>
      <c r="K78" s="98"/>
      <c r="L78" s="115"/>
      <c r="M78" s="115"/>
      <c r="N78" s="115"/>
      <c r="O78" s="115"/>
    </row>
    <row r="79" spans="1:15" ht="18" customHeight="1" x14ac:dyDescent="0.2">
      <c r="A79" s="238"/>
      <c r="B79" s="215"/>
      <c r="C79" s="92"/>
      <c r="D79" s="93" t="s">
        <v>7</v>
      </c>
      <c r="E79" s="94"/>
      <c r="F79" s="95">
        <v>7</v>
      </c>
      <c r="G79" s="218"/>
      <c r="H79" s="96"/>
      <c r="I79" s="97" t="s">
        <v>10</v>
      </c>
      <c r="J79" s="95">
        <v>7</v>
      </c>
      <c r="K79" s="98"/>
      <c r="L79" s="115"/>
      <c r="M79" s="115"/>
      <c r="N79" s="115"/>
      <c r="O79" s="115"/>
    </row>
    <row r="80" spans="1:15" ht="18.75" customHeight="1" thickBot="1" x14ac:dyDescent="0.25">
      <c r="A80" s="238"/>
      <c r="B80" s="216"/>
      <c r="C80" s="99"/>
      <c r="D80" s="100" t="s">
        <v>7</v>
      </c>
      <c r="E80" s="101"/>
      <c r="F80" s="102">
        <v>7</v>
      </c>
      <c r="G80" s="219"/>
      <c r="H80" s="103"/>
      <c r="I80" s="104" t="s">
        <v>10</v>
      </c>
      <c r="J80" s="102">
        <v>7</v>
      </c>
      <c r="K80" s="105"/>
      <c r="L80" s="115"/>
      <c r="M80" s="115"/>
      <c r="N80" s="115"/>
      <c r="O80" s="115"/>
    </row>
    <row r="81" spans="1:15" ht="23.25" x14ac:dyDescent="0.35">
      <c r="A81" s="118"/>
      <c r="B81" s="106"/>
      <c r="C81" s="107"/>
      <c r="D81" s="194" t="s">
        <v>20</v>
      </c>
      <c r="E81" s="195"/>
      <c r="F81" s="108">
        <f>SUM(F57:F80)</f>
        <v>168</v>
      </c>
      <c r="G81" s="107"/>
      <c r="H81" s="185" t="s">
        <v>20</v>
      </c>
      <c r="I81" s="186"/>
      <c r="J81" s="108">
        <f>SUM(J57:J80)</f>
        <v>161</v>
      </c>
      <c r="K81" s="109"/>
      <c r="L81" s="115"/>
      <c r="M81" s="115"/>
      <c r="N81" s="115"/>
      <c r="O81" s="115"/>
    </row>
    <row r="82" spans="1:15" ht="24" thickBot="1" x14ac:dyDescent="0.4">
      <c r="A82" s="119"/>
      <c r="B82" s="110"/>
      <c r="C82" s="111"/>
      <c r="D82" s="187" t="s">
        <v>21</v>
      </c>
      <c r="E82" s="188"/>
      <c r="F82" s="112">
        <f>F81/240*1</f>
        <v>0.7</v>
      </c>
      <c r="G82" s="111"/>
      <c r="H82" s="189" t="s">
        <v>22</v>
      </c>
      <c r="I82" s="190"/>
      <c r="J82" s="113">
        <f>J81/240*1</f>
        <v>0.67083333333333328</v>
      </c>
      <c r="K82" s="114"/>
      <c r="L82" s="115"/>
      <c r="M82" s="115"/>
      <c r="N82" s="115"/>
      <c r="O82" s="115"/>
    </row>
    <row r="83" spans="1:15" ht="24" thickBot="1" x14ac:dyDescent="0.4">
      <c r="A83" s="120">
        <v>4</v>
      </c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</row>
    <row r="84" spans="1:15" ht="21" thickBot="1" x14ac:dyDescent="0.35">
      <c r="A84" s="244" t="s">
        <v>25</v>
      </c>
      <c r="B84" s="191" t="s">
        <v>0</v>
      </c>
      <c r="C84" s="192"/>
      <c r="D84" s="192"/>
      <c r="E84" s="192"/>
      <c r="F84" s="192"/>
      <c r="G84" s="192"/>
      <c r="H84" s="192"/>
      <c r="I84" s="192"/>
      <c r="J84" s="192"/>
      <c r="K84" s="193"/>
      <c r="L84" s="115"/>
      <c r="M84" s="115"/>
      <c r="N84" s="115"/>
      <c r="O84" s="115"/>
    </row>
    <row r="85" spans="1:15" ht="21" thickBot="1" x14ac:dyDescent="0.35">
      <c r="A85" s="245"/>
      <c r="B85" s="196" t="s">
        <v>17</v>
      </c>
      <c r="C85" s="197"/>
      <c r="D85" s="197"/>
      <c r="E85" s="197"/>
      <c r="F85" s="198"/>
      <c r="G85" s="199" t="s">
        <v>1</v>
      </c>
      <c r="H85" s="200"/>
      <c r="I85" s="200"/>
      <c r="J85" s="200"/>
      <c r="K85" s="201"/>
      <c r="L85" s="115"/>
      <c r="M85" s="115"/>
      <c r="N85" s="115"/>
      <c r="O85" s="115"/>
    </row>
    <row r="86" spans="1:15" ht="41.25" thickBot="1" x14ac:dyDescent="0.25">
      <c r="A86" s="246"/>
      <c r="B86" s="2" t="s">
        <v>2</v>
      </c>
      <c r="C86" s="3" t="s">
        <v>6</v>
      </c>
      <c r="D86" s="3" t="s">
        <v>7</v>
      </c>
      <c r="E86" s="3" t="s">
        <v>8</v>
      </c>
      <c r="F86" s="4" t="s">
        <v>19</v>
      </c>
      <c r="G86" s="5" t="s">
        <v>2</v>
      </c>
      <c r="H86" s="6" t="s">
        <v>3</v>
      </c>
      <c r="I86" s="6" t="s">
        <v>4</v>
      </c>
      <c r="J86" s="7" t="s">
        <v>18</v>
      </c>
      <c r="K86" s="8" t="s">
        <v>5</v>
      </c>
      <c r="L86" s="115"/>
      <c r="M86" s="115"/>
      <c r="N86" s="115"/>
      <c r="O86" s="115"/>
    </row>
    <row r="87" spans="1:15" ht="18" x14ac:dyDescent="0.2">
      <c r="A87" s="237">
        <v>45493</v>
      </c>
      <c r="B87" s="220" t="s">
        <v>9</v>
      </c>
      <c r="C87" s="9"/>
      <c r="D87" s="9" t="s">
        <v>7</v>
      </c>
      <c r="E87" s="10"/>
      <c r="F87" s="11">
        <v>7</v>
      </c>
      <c r="G87" s="223" t="s">
        <v>9</v>
      </c>
      <c r="H87" s="12"/>
      <c r="I87" s="12" t="s">
        <v>10</v>
      </c>
      <c r="J87" s="11">
        <v>7</v>
      </c>
      <c r="K87" s="13"/>
      <c r="L87" s="115"/>
      <c r="M87" s="115"/>
      <c r="N87" s="115"/>
      <c r="O87" s="115"/>
    </row>
    <row r="88" spans="1:15" ht="18" x14ac:dyDescent="0.2">
      <c r="A88" s="238"/>
      <c r="B88" s="221"/>
      <c r="C88" s="14"/>
      <c r="D88" s="9" t="s">
        <v>7</v>
      </c>
      <c r="E88" s="10"/>
      <c r="F88" s="11">
        <v>7</v>
      </c>
      <c r="G88" s="224"/>
      <c r="H88" s="15"/>
      <c r="I88" s="16" t="s">
        <v>10</v>
      </c>
      <c r="J88" s="11">
        <v>7</v>
      </c>
      <c r="K88" s="17"/>
      <c r="L88" s="115"/>
      <c r="M88" s="115"/>
      <c r="N88" s="115"/>
      <c r="O88" s="115"/>
    </row>
    <row r="89" spans="1:15" ht="18" x14ac:dyDescent="0.2">
      <c r="A89" s="238"/>
      <c r="B89" s="221"/>
      <c r="C89" s="14"/>
      <c r="D89" s="9" t="s">
        <v>7</v>
      </c>
      <c r="E89" s="10"/>
      <c r="F89" s="11">
        <v>7</v>
      </c>
      <c r="G89" s="224"/>
      <c r="H89" s="15"/>
      <c r="I89" s="16" t="s">
        <v>10</v>
      </c>
      <c r="J89" s="11">
        <v>7</v>
      </c>
      <c r="K89" s="17"/>
      <c r="L89" s="115"/>
      <c r="M89" s="115"/>
      <c r="N89" s="115"/>
      <c r="O89" s="115"/>
    </row>
    <row r="90" spans="1:15" ht="18.75" thickBot="1" x14ac:dyDescent="0.25">
      <c r="A90" s="238"/>
      <c r="B90" s="222"/>
      <c r="C90" s="18"/>
      <c r="D90" s="19" t="s">
        <v>7</v>
      </c>
      <c r="E90" s="20"/>
      <c r="F90" s="21">
        <v>7</v>
      </c>
      <c r="G90" s="225"/>
      <c r="H90" s="22"/>
      <c r="I90" s="23" t="s">
        <v>10</v>
      </c>
      <c r="J90" s="21">
        <v>7</v>
      </c>
      <c r="K90" s="24"/>
      <c r="L90" s="115"/>
      <c r="M90" s="115"/>
      <c r="N90" s="115"/>
      <c r="O90" s="115"/>
    </row>
    <row r="91" spans="1:15" ht="18" customHeight="1" x14ac:dyDescent="0.2">
      <c r="A91" s="237">
        <v>45494</v>
      </c>
      <c r="B91" s="226" t="s">
        <v>12</v>
      </c>
      <c r="C91" s="25"/>
      <c r="D91" s="25" t="s">
        <v>7</v>
      </c>
      <c r="E91" s="26"/>
      <c r="F91" s="27">
        <v>7</v>
      </c>
      <c r="G91" s="229" t="s">
        <v>12</v>
      </c>
      <c r="H91" s="28"/>
      <c r="I91" s="28" t="s">
        <v>10</v>
      </c>
      <c r="J91" s="27">
        <v>7</v>
      </c>
      <c r="K91" s="29"/>
      <c r="L91" s="115"/>
      <c r="M91" s="115"/>
      <c r="N91" s="115"/>
      <c r="O91" s="115"/>
    </row>
    <row r="92" spans="1:15" ht="18" customHeight="1" x14ac:dyDescent="0.2">
      <c r="A92" s="238"/>
      <c r="B92" s="227"/>
      <c r="C92" s="30"/>
      <c r="D92" s="31" t="s">
        <v>7</v>
      </c>
      <c r="E92" s="32"/>
      <c r="F92" s="33">
        <v>7</v>
      </c>
      <c r="G92" s="230"/>
      <c r="H92" s="34"/>
      <c r="I92" s="35" t="s">
        <v>10</v>
      </c>
      <c r="J92" s="33">
        <v>7</v>
      </c>
      <c r="K92" s="36"/>
      <c r="L92" s="115"/>
      <c r="M92" s="115"/>
      <c r="N92" s="115"/>
      <c r="O92" s="115"/>
    </row>
    <row r="93" spans="1:15" ht="18" customHeight="1" x14ac:dyDescent="0.2">
      <c r="A93" s="238"/>
      <c r="B93" s="227"/>
      <c r="C93" s="30"/>
      <c r="D93" s="31" t="s">
        <v>7</v>
      </c>
      <c r="E93" s="32"/>
      <c r="F93" s="33">
        <v>7</v>
      </c>
      <c r="G93" s="230"/>
      <c r="H93" s="34"/>
      <c r="I93" s="35" t="s">
        <v>10</v>
      </c>
      <c r="J93" s="33">
        <v>7</v>
      </c>
      <c r="K93" s="36"/>
      <c r="L93" s="115"/>
      <c r="M93" s="115"/>
      <c r="N93" s="115"/>
      <c r="O93" s="115"/>
    </row>
    <row r="94" spans="1:15" ht="18.75" customHeight="1" thickBot="1" x14ac:dyDescent="0.25">
      <c r="A94" s="238"/>
      <c r="B94" s="228"/>
      <c r="C94" s="37"/>
      <c r="D94" s="38" t="s">
        <v>7</v>
      </c>
      <c r="E94" s="39"/>
      <c r="F94" s="40">
        <v>7</v>
      </c>
      <c r="G94" s="231"/>
      <c r="H94" s="41"/>
      <c r="I94" s="42" t="s">
        <v>10</v>
      </c>
      <c r="J94" s="40">
        <v>7</v>
      </c>
      <c r="K94" s="43"/>
      <c r="L94" s="115"/>
      <c r="M94" s="115"/>
      <c r="N94" s="115"/>
      <c r="O94" s="115"/>
    </row>
    <row r="95" spans="1:15" ht="18" customHeight="1" x14ac:dyDescent="0.2">
      <c r="A95" s="237">
        <v>45495</v>
      </c>
      <c r="B95" s="232" t="s">
        <v>13</v>
      </c>
      <c r="C95" s="44"/>
      <c r="D95" s="44" t="s">
        <v>7</v>
      </c>
      <c r="E95" s="45"/>
      <c r="F95" s="46">
        <v>7</v>
      </c>
      <c r="G95" s="185" t="s">
        <v>13</v>
      </c>
      <c r="H95" s="47"/>
      <c r="I95" s="47" t="s">
        <v>10</v>
      </c>
      <c r="J95" s="46">
        <v>7</v>
      </c>
      <c r="K95" s="48"/>
      <c r="L95" s="115"/>
      <c r="M95" s="115"/>
      <c r="N95" s="115"/>
      <c r="O95" s="115"/>
    </row>
    <row r="96" spans="1:15" ht="18" customHeight="1" x14ac:dyDescent="0.2">
      <c r="A96" s="238"/>
      <c r="B96" s="233"/>
      <c r="C96" s="49"/>
      <c r="D96" s="44" t="s">
        <v>7</v>
      </c>
      <c r="E96" s="45"/>
      <c r="F96" s="46">
        <v>7</v>
      </c>
      <c r="G96" s="235"/>
      <c r="H96" s="50"/>
      <c r="I96" s="51" t="s">
        <v>10</v>
      </c>
      <c r="J96" s="46">
        <v>7</v>
      </c>
      <c r="K96" s="52"/>
      <c r="L96" s="115"/>
      <c r="M96" s="115"/>
      <c r="N96" s="115"/>
      <c r="O96" s="115"/>
    </row>
    <row r="97" spans="1:15" ht="18" customHeight="1" x14ac:dyDescent="0.2">
      <c r="A97" s="238"/>
      <c r="B97" s="233"/>
      <c r="C97" s="49"/>
      <c r="D97" s="44" t="s">
        <v>7</v>
      </c>
      <c r="E97" s="45"/>
      <c r="F97" s="46">
        <v>7</v>
      </c>
      <c r="G97" s="235"/>
      <c r="H97" s="50"/>
      <c r="I97" s="51" t="s">
        <v>10</v>
      </c>
      <c r="J97" s="46">
        <v>7</v>
      </c>
      <c r="K97" s="52"/>
      <c r="L97" s="115"/>
      <c r="M97" s="115"/>
      <c r="N97" s="115"/>
      <c r="O97" s="115"/>
    </row>
    <row r="98" spans="1:15" ht="18.75" customHeight="1" thickBot="1" x14ac:dyDescent="0.25">
      <c r="A98" s="238"/>
      <c r="B98" s="234"/>
      <c r="C98" s="53"/>
      <c r="D98" s="54" t="s">
        <v>7</v>
      </c>
      <c r="E98" s="55"/>
      <c r="F98" s="56">
        <v>7</v>
      </c>
      <c r="G98" s="236"/>
      <c r="H98" s="57"/>
      <c r="I98" s="58" t="s">
        <v>10</v>
      </c>
      <c r="J98" s="56">
        <v>7</v>
      </c>
      <c r="K98" s="59"/>
      <c r="L98" s="115"/>
      <c r="M98" s="115"/>
      <c r="N98" s="115"/>
      <c r="O98" s="115"/>
    </row>
    <row r="99" spans="1:15" ht="18" customHeight="1" x14ac:dyDescent="0.2">
      <c r="A99" s="237">
        <v>45496</v>
      </c>
      <c r="B99" s="202" t="s">
        <v>14</v>
      </c>
      <c r="C99" s="60"/>
      <c r="D99" s="60" t="s">
        <v>7</v>
      </c>
      <c r="E99" s="61"/>
      <c r="F99" s="62">
        <v>7</v>
      </c>
      <c r="G99" s="205" t="s">
        <v>14</v>
      </c>
      <c r="H99" s="44"/>
      <c r="I99" s="44" t="s">
        <v>10</v>
      </c>
      <c r="J99" s="62">
        <v>7</v>
      </c>
      <c r="K99" s="45"/>
      <c r="L99" s="115"/>
      <c r="M99" s="115"/>
      <c r="N99" s="115"/>
      <c r="O99" s="115"/>
    </row>
    <row r="100" spans="1:15" ht="18" customHeight="1" x14ac:dyDescent="0.2">
      <c r="A100" s="238"/>
      <c r="B100" s="203"/>
      <c r="C100" s="63"/>
      <c r="D100" s="64" t="s">
        <v>7</v>
      </c>
      <c r="E100" s="65"/>
      <c r="F100" s="66">
        <v>7</v>
      </c>
      <c r="G100" s="206"/>
      <c r="H100" s="49"/>
      <c r="I100" s="44" t="s">
        <v>10</v>
      </c>
      <c r="J100" s="66">
        <v>7</v>
      </c>
      <c r="K100" s="67"/>
      <c r="L100" s="115"/>
      <c r="M100" s="115"/>
      <c r="N100" s="115"/>
      <c r="O100" s="115"/>
    </row>
    <row r="101" spans="1:15" ht="18" customHeight="1" x14ac:dyDescent="0.2">
      <c r="A101" s="238"/>
      <c r="B101" s="203"/>
      <c r="C101" s="63"/>
      <c r="D101" s="64" t="s">
        <v>7</v>
      </c>
      <c r="E101" s="65"/>
      <c r="F101" s="66">
        <v>7</v>
      </c>
      <c r="G101" s="206"/>
      <c r="H101" s="49"/>
      <c r="I101" s="44" t="s">
        <v>10</v>
      </c>
      <c r="J101" s="66">
        <v>7</v>
      </c>
      <c r="K101" s="67"/>
      <c r="L101" s="115"/>
      <c r="M101" s="115"/>
      <c r="N101" s="115"/>
      <c r="O101" s="115"/>
    </row>
    <row r="102" spans="1:15" ht="18.75" customHeight="1" thickBot="1" x14ac:dyDescent="0.25">
      <c r="A102" s="238"/>
      <c r="B102" s="204"/>
      <c r="C102" s="68"/>
      <c r="D102" s="69" t="s">
        <v>7</v>
      </c>
      <c r="E102" s="70"/>
      <c r="F102" s="71">
        <v>7</v>
      </c>
      <c r="G102" s="207"/>
      <c r="H102" s="53"/>
      <c r="I102" s="54" t="s">
        <v>10</v>
      </c>
      <c r="J102" s="71">
        <v>7</v>
      </c>
      <c r="K102" s="72"/>
      <c r="L102" s="115"/>
      <c r="M102" s="115"/>
      <c r="N102" s="115"/>
      <c r="O102" s="115"/>
    </row>
    <row r="103" spans="1:15" ht="18" customHeight="1" x14ac:dyDescent="0.2">
      <c r="A103" s="237">
        <v>45497</v>
      </c>
      <c r="B103" s="208" t="s">
        <v>15</v>
      </c>
      <c r="C103" s="16"/>
      <c r="D103" s="16" t="s">
        <v>7</v>
      </c>
      <c r="E103" s="73"/>
      <c r="F103" s="74">
        <v>7</v>
      </c>
      <c r="G103" s="211" t="s">
        <v>15</v>
      </c>
      <c r="H103" s="75"/>
      <c r="I103" s="75" t="s">
        <v>10</v>
      </c>
      <c r="J103" s="74">
        <v>7</v>
      </c>
      <c r="K103" s="76"/>
      <c r="L103" s="115"/>
      <c r="M103" s="115"/>
      <c r="N103" s="115"/>
      <c r="O103" s="115"/>
    </row>
    <row r="104" spans="1:15" ht="18" customHeight="1" x14ac:dyDescent="0.2">
      <c r="A104" s="238"/>
      <c r="B104" s="209"/>
      <c r="C104" s="15"/>
      <c r="D104" s="16" t="s">
        <v>7</v>
      </c>
      <c r="E104" s="73"/>
      <c r="F104" s="74">
        <v>7</v>
      </c>
      <c r="G104" s="212"/>
      <c r="H104" s="77"/>
      <c r="I104" s="78" t="s">
        <v>10</v>
      </c>
      <c r="J104" s="74">
        <v>7</v>
      </c>
      <c r="K104" s="79"/>
      <c r="L104" s="115"/>
      <c r="M104" s="115"/>
      <c r="N104" s="115"/>
      <c r="O104" s="115"/>
    </row>
    <row r="105" spans="1:15" ht="18" customHeight="1" x14ac:dyDescent="0.2">
      <c r="A105" s="238"/>
      <c r="B105" s="209"/>
      <c r="C105" s="15"/>
      <c r="D105" s="16" t="s">
        <v>7</v>
      </c>
      <c r="E105" s="73"/>
      <c r="F105" s="74">
        <v>7</v>
      </c>
      <c r="G105" s="212"/>
      <c r="H105" s="77"/>
      <c r="I105" s="78" t="s">
        <v>10</v>
      </c>
      <c r="J105" s="74">
        <v>7</v>
      </c>
      <c r="K105" s="79"/>
      <c r="L105" s="115"/>
      <c r="M105" s="115"/>
      <c r="N105" s="115"/>
      <c r="O105" s="115"/>
    </row>
    <row r="106" spans="1:15" ht="18.75" customHeight="1" thickBot="1" x14ac:dyDescent="0.25">
      <c r="A106" s="238"/>
      <c r="B106" s="210"/>
      <c r="C106" s="80"/>
      <c r="D106" s="81" t="s">
        <v>7</v>
      </c>
      <c r="E106" s="82"/>
      <c r="F106" s="83">
        <v>7</v>
      </c>
      <c r="G106" s="213"/>
      <c r="H106" s="84"/>
      <c r="I106" s="85" t="s">
        <v>10</v>
      </c>
      <c r="J106" s="83">
        <v>7</v>
      </c>
      <c r="K106" s="86"/>
      <c r="L106" s="115"/>
      <c r="M106" s="115"/>
      <c r="N106" s="115"/>
      <c r="O106" s="115"/>
    </row>
    <row r="107" spans="1:15" ht="18" customHeight="1" x14ac:dyDescent="0.2">
      <c r="A107" s="237">
        <v>45498</v>
      </c>
      <c r="B107" s="214" t="s">
        <v>16</v>
      </c>
      <c r="C107" s="87"/>
      <c r="D107" s="87" t="s">
        <v>7</v>
      </c>
      <c r="E107" s="88"/>
      <c r="F107" s="89">
        <v>7</v>
      </c>
      <c r="G107" s="217" t="s">
        <v>16</v>
      </c>
      <c r="H107" s="90"/>
      <c r="I107" s="90" t="s">
        <v>10</v>
      </c>
      <c r="J107" s="89">
        <v>0</v>
      </c>
      <c r="K107" s="91"/>
      <c r="L107" s="115"/>
      <c r="M107" s="115"/>
      <c r="N107" s="115"/>
      <c r="O107" s="115"/>
    </row>
    <row r="108" spans="1:15" ht="18" customHeight="1" x14ac:dyDescent="0.2">
      <c r="A108" s="238"/>
      <c r="B108" s="215"/>
      <c r="C108" s="92"/>
      <c r="D108" s="93" t="s">
        <v>7</v>
      </c>
      <c r="E108" s="94"/>
      <c r="F108" s="95">
        <v>7</v>
      </c>
      <c r="G108" s="218"/>
      <c r="H108" s="96"/>
      <c r="I108" s="97" t="s">
        <v>10</v>
      </c>
      <c r="J108" s="95">
        <v>7</v>
      </c>
      <c r="K108" s="98"/>
      <c r="L108" s="115"/>
      <c r="M108" s="115"/>
      <c r="N108" s="115"/>
      <c r="O108" s="115"/>
    </row>
    <row r="109" spans="1:15" ht="18" customHeight="1" x14ac:dyDescent="0.2">
      <c r="A109" s="238"/>
      <c r="B109" s="215"/>
      <c r="C109" s="92"/>
      <c r="D109" s="93" t="s">
        <v>7</v>
      </c>
      <c r="E109" s="94"/>
      <c r="F109" s="95">
        <v>7</v>
      </c>
      <c r="G109" s="218"/>
      <c r="H109" s="96"/>
      <c r="I109" s="97" t="s">
        <v>10</v>
      </c>
      <c r="J109" s="95">
        <v>7</v>
      </c>
      <c r="K109" s="98"/>
      <c r="L109" s="115"/>
      <c r="M109" s="115"/>
      <c r="N109" s="115"/>
      <c r="O109" s="115"/>
    </row>
    <row r="110" spans="1:15" ht="18.75" customHeight="1" thickBot="1" x14ac:dyDescent="0.25">
      <c r="A110" s="238"/>
      <c r="B110" s="216"/>
      <c r="C110" s="99"/>
      <c r="D110" s="100" t="s">
        <v>7</v>
      </c>
      <c r="E110" s="101"/>
      <c r="F110" s="102">
        <v>7</v>
      </c>
      <c r="G110" s="219"/>
      <c r="H110" s="103"/>
      <c r="I110" s="104" t="s">
        <v>10</v>
      </c>
      <c r="J110" s="102">
        <v>7</v>
      </c>
      <c r="K110" s="105"/>
      <c r="L110" s="115"/>
      <c r="M110" s="115"/>
      <c r="N110" s="115"/>
      <c r="O110" s="115"/>
    </row>
    <row r="111" spans="1:15" ht="23.25" x14ac:dyDescent="0.35">
      <c r="A111" s="118"/>
      <c r="B111" s="106"/>
      <c r="C111" s="107"/>
      <c r="D111" s="194" t="s">
        <v>20</v>
      </c>
      <c r="E111" s="195"/>
      <c r="F111" s="108">
        <f>SUM(F87:F110)</f>
        <v>168</v>
      </c>
      <c r="G111" s="107"/>
      <c r="H111" s="185" t="s">
        <v>20</v>
      </c>
      <c r="I111" s="186"/>
      <c r="J111" s="108">
        <f>SUM(J87:J110)</f>
        <v>161</v>
      </c>
      <c r="K111" s="109"/>
      <c r="L111" s="115"/>
      <c r="M111" s="115"/>
      <c r="N111" s="115"/>
      <c r="O111" s="115"/>
    </row>
    <row r="112" spans="1:15" ht="24" thickBot="1" x14ac:dyDescent="0.4">
      <c r="A112" s="119"/>
      <c r="B112" s="110"/>
      <c r="C112" s="111"/>
      <c r="D112" s="187" t="s">
        <v>21</v>
      </c>
      <c r="E112" s="188"/>
      <c r="F112" s="112">
        <f>F111/240*1</f>
        <v>0.7</v>
      </c>
      <c r="G112" s="111"/>
      <c r="H112" s="189" t="s">
        <v>22</v>
      </c>
      <c r="I112" s="190"/>
      <c r="J112" s="113">
        <f>J111/240*1</f>
        <v>0.67083333333333328</v>
      </c>
      <c r="K112" s="114"/>
      <c r="L112" s="115"/>
      <c r="M112" s="115"/>
      <c r="N112" s="115"/>
      <c r="O112" s="115"/>
    </row>
    <row r="113" spans="1:15" ht="24" thickBot="1" x14ac:dyDescent="0.4">
      <c r="A113" s="120">
        <v>5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</row>
    <row r="114" spans="1:15" ht="21" thickBot="1" x14ac:dyDescent="0.35">
      <c r="A114" s="244" t="s">
        <v>25</v>
      </c>
      <c r="B114" s="191" t="s">
        <v>0</v>
      </c>
      <c r="C114" s="192"/>
      <c r="D114" s="192"/>
      <c r="E114" s="192"/>
      <c r="F114" s="192"/>
      <c r="G114" s="192"/>
      <c r="H114" s="192"/>
      <c r="I114" s="192"/>
      <c r="J114" s="192"/>
      <c r="K114" s="193"/>
      <c r="L114" s="115"/>
      <c r="M114" s="115"/>
      <c r="N114" s="115"/>
      <c r="O114" s="115"/>
    </row>
    <row r="115" spans="1:15" ht="21" thickBot="1" x14ac:dyDescent="0.35">
      <c r="A115" s="245"/>
      <c r="B115" s="196" t="s">
        <v>17</v>
      </c>
      <c r="C115" s="197"/>
      <c r="D115" s="197"/>
      <c r="E115" s="197"/>
      <c r="F115" s="198"/>
      <c r="G115" s="199" t="s">
        <v>1</v>
      </c>
      <c r="H115" s="200"/>
      <c r="I115" s="200"/>
      <c r="J115" s="200"/>
      <c r="K115" s="201"/>
      <c r="L115" s="115"/>
      <c r="M115" s="115"/>
      <c r="N115" s="115"/>
      <c r="O115" s="115"/>
    </row>
    <row r="116" spans="1:15" ht="41.25" thickBot="1" x14ac:dyDescent="0.25">
      <c r="A116" s="246"/>
      <c r="B116" s="2" t="s">
        <v>2</v>
      </c>
      <c r="C116" s="3" t="s">
        <v>6</v>
      </c>
      <c r="D116" s="3" t="s">
        <v>7</v>
      </c>
      <c r="E116" s="3" t="s">
        <v>8</v>
      </c>
      <c r="F116" s="4" t="s">
        <v>19</v>
      </c>
      <c r="G116" s="5" t="s">
        <v>2</v>
      </c>
      <c r="H116" s="6" t="s">
        <v>3</v>
      </c>
      <c r="I116" s="6" t="s">
        <v>4</v>
      </c>
      <c r="J116" s="7" t="s">
        <v>18</v>
      </c>
      <c r="K116" s="8" t="s">
        <v>5</v>
      </c>
      <c r="L116" s="115"/>
      <c r="M116" s="115"/>
      <c r="N116" s="115"/>
      <c r="O116" s="115"/>
    </row>
    <row r="117" spans="1:15" ht="18" x14ac:dyDescent="0.2">
      <c r="A117" s="237">
        <v>45500</v>
      </c>
      <c r="B117" s="220" t="s">
        <v>9</v>
      </c>
      <c r="C117" s="9"/>
      <c r="D117" s="9" t="s">
        <v>7</v>
      </c>
      <c r="E117" s="10"/>
      <c r="F117" s="11">
        <v>7</v>
      </c>
      <c r="G117" s="223" t="s">
        <v>9</v>
      </c>
      <c r="H117" s="12"/>
      <c r="I117" s="12" t="s">
        <v>10</v>
      </c>
      <c r="J117" s="11">
        <v>7</v>
      </c>
      <c r="K117" s="13"/>
      <c r="L117" s="115"/>
      <c r="M117" s="115"/>
      <c r="N117" s="115"/>
      <c r="O117" s="115"/>
    </row>
    <row r="118" spans="1:15" ht="18" x14ac:dyDescent="0.2">
      <c r="A118" s="238"/>
      <c r="B118" s="221"/>
      <c r="C118" s="14"/>
      <c r="D118" s="9" t="s">
        <v>7</v>
      </c>
      <c r="E118" s="10"/>
      <c r="F118" s="11">
        <v>7</v>
      </c>
      <c r="G118" s="224"/>
      <c r="H118" s="15"/>
      <c r="I118" s="16" t="s">
        <v>10</v>
      </c>
      <c r="J118" s="11">
        <v>7</v>
      </c>
      <c r="K118" s="17"/>
      <c r="L118" s="115"/>
      <c r="M118" s="115"/>
      <c r="N118" s="115"/>
      <c r="O118" s="115"/>
    </row>
    <row r="119" spans="1:15" ht="18" x14ac:dyDescent="0.2">
      <c r="A119" s="238"/>
      <c r="B119" s="221"/>
      <c r="C119" s="14"/>
      <c r="D119" s="9" t="s">
        <v>7</v>
      </c>
      <c r="E119" s="10"/>
      <c r="F119" s="11">
        <v>7</v>
      </c>
      <c r="G119" s="224"/>
      <c r="H119" s="15"/>
      <c r="I119" s="16" t="s">
        <v>10</v>
      </c>
      <c r="J119" s="11">
        <v>7</v>
      </c>
      <c r="K119" s="17"/>
      <c r="L119" s="115"/>
      <c r="M119" s="115"/>
      <c r="N119" s="115"/>
      <c r="O119" s="115"/>
    </row>
    <row r="120" spans="1:15" ht="18.75" thickBot="1" x14ac:dyDescent="0.25">
      <c r="A120" s="238"/>
      <c r="B120" s="222"/>
      <c r="C120" s="18"/>
      <c r="D120" s="19" t="s">
        <v>7</v>
      </c>
      <c r="E120" s="20"/>
      <c r="F120" s="21">
        <v>7</v>
      </c>
      <c r="G120" s="225"/>
      <c r="H120" s="22"/>
      <c r="I120" s="23" t="s">
        <v>10</v>
      </c>
      <c r="J120" s="21">
        <v>7</v>
      </c>
      <c r="K120" s="24"/>
      <c r="L120" s="115"/>
      <c r="M120" s="115"/>
      <c r="N120" s="115"/>
      <c r="O120" s="115"/>
    </row>
    <row r="121" spans="1:15" ht="18" customHeight="1" x14ac:dyDescent="0.2">
      <c r="A121" s="237">
        <v>45501</v>
      </c>
      <c r="B121" s="226" t="s">
        <v>12</v>
      </c>
      <c r="C121" s="25"/>
      <c r="D121" s="25" t="s">
        <v>7</v>
      </c>
      <c r="E121" s="26"/>
      <c r="F121" s="27">
        <v>7</v>
      </c>
      <c r="G121" s="229" t="s">
        <v>12</v>
      </c>
      <c r="H121" s="28"/>
      <c r="I121" s="28" t="s">
        <v>10</v>
      </c>
      <c r="J121" s="27">
        <v>7</v>
      </c>
      <c r="K121" s="29"/>
      <c r="L121" s="115"/>
      <c r="M121" s="115"/>
      <c r="N121" s="115"/>
      <c r="O121" s="115"/>
    </row>
    <row r="122" spans="1:15" ht="18" customHeight="1" x14ac:dyDescent="0.2">
      <c r="A122" s="238"/>
      <c r="B122" s="227"/>
      <c r="C122" s="30"/>
      <c r="D122" s="31" t="s">
        <v>7</v>
      </c>
      <c r="E122" s="32"/>
      <c r="F122" s="33">
        <v>7</v>
      </c>
      <c r="G122" s="230"/>
      <c r="H122" s="34"/>
      <c r="I122" s="35" t="s">
        <v>10</v>
      </c>
      <c r="J122" s="33">
        <v>7</v>
      </c>
      <c r="K122" s="36"/>
      <c r="L122" s="115"/>
      <c r="M122" s="115"/>
      <c r="N122" s="115"/>
      <c r="O122" s="115"/>
    </row>
    <row r="123" spans="1:15" ht="18" customHeight="1" x14ac:dyDescent="0.2">
      <c r="A123" s="238"/>
      <c r="B123" s="227"/>
      <c r="C123" s="30"/>
      <c r="D123" s="31" t="s">
        <v>7</v>
      </c>
      <c r="E123" s="32"/>
      <c r="F123" s="33">
        <v>7</v>
      </c>
      <c r="G123" s="230"/>
      <c r="H123" s="34"/>
      <c r="I123" s="35" t="s">
        <v>10</v>
      </c>
      <c r="J123" s="33">
        <v>7</v>
      </c>
      <c r="K123" s="36"/>
      <c r="L123" s="115"/>
      <c r="M123" s="115"/>
      <c r="N123" s="115"/>
      <c r="O123" s="115"/>
    </row>
    <row r="124" spans="1:15" ht="18.75" customHeight="1" thickBot="1" x14ac:dyDescent="0.25">
      <c r="A124" s="238"/>
      <c r="B124" s="228"/>
      <c r="C124" s="37"/>
      <c r="D124" s="38" t="s">
        <v>7</v>
      </c>
      <c r="E124" s="39"/>
      <c r="F124" s="40">
        <v>7</v>
      </c>
      <c r="G124" s="231"/>
      <c r="H124" s="41"/>
      <c r="I124" s="42" t="s">
        <v>10</v>
      </c>
      <c r="J124" s="40">
        <v>7</v>
      </c>
      <c r="K124" s="43"/>
      <c r="L124" s="115"/>
      <c r="M124" s="115"/>
      <c r="N124" s="115"/>
      <c r="O124" s="115"/>
    </row>
    <row r="125" spans="1:15" ht="18" customHeight="1" x14ac:dyDescent="0.2">
      <c r="A125" s="237">
        <v>45502</v>
      </c>
      <c r="B125" s="232" t="s">
        <v>13</v>
      </c>
      <c r="C125" s="44"/>
      <c r="D125" s="44" t="s">
        <v>7</v>
      </c>
      <c r="E125" s="45"/>
      <c r="F125" s="46">
        <v>7</v>
      </c>
      <c r="G125" s="185" t="s">
        <v>13</v>
      </c>
      <c r="H125" s="47"/>
      <c r="I125" s="47" t="s">
        <v>10</v>
      </c>
      <c r="J125" s="46">
        <v>7</v>
      </c>
      <c r="K125" s="48"/>
      <c r="L125" s="115"/>
      <c r="M125" s="115"/>
      <c r="N125" s="115"/>
      <c r="O125" s="115"/>
    </row>
    <row r="126" spans="1:15" ht="18" customHeight="1" x14ac:dyDescent="0.2">
      <c r="A126" s="238"/>
      <c r="B126" s="233"/>
      <c r="C126" s="49"/>
      <c r="D126" s="44" t="s">
        <v>7</v>
      </c>
      <c r="E126" s="45"/>
      <c r="F126" s="46">
        <v>7</v>
      </c>
      <c r="G126" s="235"/>
      <c r="H126" s="50"/>
      <c r="I126" s="51" t="s">
        <v>10</v>
      </c>
      <c r="J126" s="46">
        <v>7</v>
      </c>
      <c r="K126" s="52"/>
      <c r="L126" s="115"/>
      <c r="M126" s="115"/>
      <c r="N126" s="115"/>
      <c r="O126" s="115"/>
    </row>
    <row r="127" spans="1:15" ht="18" customHeight="1" x14ac:dyDescent="0.2">
      <c r="A127" s="238"/>
      <c r="B127" s="233"/>
      <c r="C127" s="49"/>
      <c r="D127" s="44" t="s">
        <v>7</v>
      </c>
      <c r="E127" s="45"/>
      <c r="F127" s="46">
        <v>7</v>
      </c>
      <c r="G127" s="235"/>
      <c r="H127" s="50"/>
      <c r="I127" s="51" t="s">
        <v>10</v>
      </c>
      <c r="J127" s="46">
        <v>7</v>
      </c>
      <c r="K127" s="52"/>
      <c r="L127" s="115"/>
      <c r="M127" s="115"/>
      <c r="N127" s="115"/>
      <c r="O127" s="115"/>
    </row>
    <row r="128" spans="1:15" ht="18.75" customHeight="1" thickBot="1" x14ac:dyDescent="0.25">
      <c r="A128" s="238"/>
      <c r="B128" s="234"/>
      <c r="C128" s="53"/>
      <c r="D128" s="54" t="s">
        <v>7</v>
      </c>
      <c r="E128" s="55"/>
      <c r="F128" s="56">
        <v>7</v>
      </c>
      <c r="G128" s="236"/>
      <c r="H128" s="57"/>
      <c r="I128" s="58" t="s">
        <v>10</v>
      </c>
      <c r="J128" s="56">
        <v>7</v>
      </c>
      <c r="K128" s="59"/>
      <c r="L128" s="115"/>
      <c r="M128" s="115"/>
      <c r="N128" s="115"/>
      <c r="O128" s="115"/>
    </row>
    <row r="129" spans="1:15" ht="18" customHeight="1" x14ac:dyDescent="0.2">
      <c r="A129" s="237">
        <v>45503</v>
      </c>
      <c r="B129" s="202" t="s">
        <v>14</v>
      </c>
      <c r="C129" s="60"/>
      <c r="D129" s="60" t="s">
        <v>7</v>
      </c>
      <c r="E129" s="61"/>
      <c r="F129" s="62">
        <v>7</v>
      </c>
      <c r="G129" s="205" t="s">
        <v>14</v>
      </c>
      <c r="H129" s="44"/>
      <c r="I129" s="44" t="s">
        <v>10</v>
      </c>
      <c r="J129" s="62">
        <v>7</v>
      </c>
      <c r="K129" s="45"/>
      <c r="L129" s="115"/>
      <c r="M129" s="115"/>
      <c r="N129" s="115"/>
      <c r="O129" s="115"/>
    </row>
    <row r="130" spans="1:15" ht="18" customHeight="1" x14ac:dyDescent="0.2">
      <c r="A130" s="238"/>
      <c r="B130" s="203"/>
      <c r="C130" s="63"/>
      <c r="D130" s="64" t="s">
        <v>7</v>
      </c>
      <c r="E130" s="65"/>
      <c r="F130" s="66">
        <v>7</v>
      </c>
      <c r="G130" s="206"/>
      <c r="H130" s="49"/>
      <c r="I130" s="44" t="s">
        <v>10</v>
      </c>
      <c r="J130" s="66">
        <v>7</v>
      </c>
      <c r="K130" s="67"/>
      <c r="L130" s="115"/>
      <c r="M130" s="115"/>
      <c r="N130" s="115"/>
      <c r="O130" s="115"/>
    </row>
    <row r="131" spans="1:15" ht="18" customHeight="1" x14ac:dyDescent="0.2">
      <c r="A131" s="238"/>
      <c r="B131" s="203"/>
      <c r="C131" s="63"/>
      <c r="D131" s="64" t="s">
        <v>7</v>
      </c>
      <c r="E131" s="65"/>
      <c r="F131" s="66">
        <v>7</v>
      </c>
      <c r="G131" s="206"/>
      <c r="H131" s="49"/>
      <c r="I131" s="44" t="s">
        <v>10</v>
      </c>
      <c r="J131" s="66">
        <v>7</v>
      </c>
      <c r="K131" s="67"/>
      <c r="L131" s="115"/>
      <c r="M131" s="115"/>
      <c r="N131" s="115"/>
      <c r="O131" s="115"/>
    </row>
    <row r="132" spans="1:15" ht="18.75" customHeight="1" thickBot="1" x14ac:dyDescent="0.25">
      <c r="A132" s="238"/>
      <c r="B132" s="204"/>
      <c r="C132" s="68"/>
      <c r="D132" s="69" t="s">
        <v>7</v>
      </c>
      <c r="E132" s="70"/>
      <c r="F132" s="71">
        <v>7</v>
      </c>
      <c r="G132" s="207"/>
      <c r="H132" s="53"/>
      <c r="I132" s="54" t="s">
        <v>10</v>
      </c>
      <c r="J132" s="71">
        <v>7</v>
      </c>
      <c r="K132" s="72"/>
      <c r="L132" s="115"/>
      <c r="M132" s="115"/>
      <c r="N132" s="115"/>
      <c r="O132" s="115"/>
    </row>
    <row r="133" spans="1:15" ht="18" customHeight="1" x14ac:dyDescent="0.2">
      <c r="A133" s="237">
        <v>45504</v>
      </c>
      <c r="B133" s="208" t="s">
        <v>15</v>
      </c>
      <c r="C133" s="16"/>
      <c r="D133" s="16" t="s">
        <v>7</v>
      </c>
      <c r="E133" s="73"/>
      <c r="F133" s="74">
        <v>7</v>
      </c>
      <c r="G133" s="211" t="s">
        <v>15</v>
      </c>
      <c r="H133" s="75"/>
      <c r="I133" s="75" t="s">
        <v>10</v>
      </c>
      <c r="J133" s="74">
        <v>7</v>
      </c>
      <c r="K133" s="76"/>
      <c r="L133" s="115"/>
      <c r="M133" s="115"/>
      <c r="N133" s="115"/>
      <c r="O133" s="115"/>
    </row>
    <row r="134" spans="1:15" ht="18" customHeight="1" x14ac:dyDescent="0.2">
      <c r="A134" s="238"/>
      <c r="B134" s="209"/>
      <c r="C134" s="15"/>
      <c r="D134" s="16" t="s">
        <v>7</v>
      </c>
      <c r="E134" s="73"/>
      <c r="F134" s="74">
        <v>7</v>
      </c>
      <c r="G134" s="212"/>
      <c r="H134" s="77"/>
      <c r="I134" s="78" t="s">
        <v>10</v>
      </c>
      <c r="J134" s="74">
        <v>7</v>
      </c>
      <c r="K134" s="79"/>
      <c r="L134" s="115"/>
      <c r="M134" s="115"/>
      <c r="N134" s="115"/>
      <c r="O134" s="115"/>
    </row>
    <row r="135" spans="1:15" ht="18" customHeight="1" x14ac:dyDescent="0.2">
      <c r="A135" s="238"/>
      <c r="B135" s="209"/>
      <c r="C135" s="15"/>
      <c r="D135" s="16" t="s">
        <v>7</v>
      </c>
      <c r="E135" s="73"/>
      <c r="F135" s="74">
        <v>7</v>
      </c>
      <c r="G135" s="212"/>
      <c r="H135" s="77"/>
      <c r="I135" s="78" t="s">
        <v>10</v>
      </c>
      <c r="J135" s="74">
        <v>7</v>
      </c>
      <c r="K135" s="79"/>
      <c r="L135" s="115"/>
      <c r="M135" s="115"/>
      <c r="N135" s="115"/>
      <c r="O135" s="115"/>
    </row>
    <row r="136" spans="1:15" ht="18.75" customHeight="1" thickBot="1" x14ac:dyDescent="0.25">
      <c r="A136" s="238"/>
      <c r="B136" s="210"/>
      <c r="C136" s="80"/>
      <c r="D136" s="81" t="s">
        <v>7</v>
      </c>
      <c r="E136" s="82"/>
      <c r="F136" s="83">
        <v>7</v>
      </c>
      <c r="G136" s="213"/>
      <c r="H136" s="84"/>
      <c r="I136" s="85" t="s">
        <v>10</v>
      </c>
      <c r="J136" s="83">
        <v>7</v>
      </c>
      <c r="K136" s="86"/>
      <c r="L136" s="115"/>
      <c r="M136" s="115"/>
      <c r="N136" s="115"/>
      <c r="O136" s="115"/>
    </row>
    <row r="137" spans="1:15" ht="18" customHeight="1" x14ac:dyDescent="0.2">
      <c r="A137" s="237">
        <v>45505</v>
      </c>
      <c r="B137" s="214" t="s">
        <v>16</v>
      </c>
      <c r="C137" s="87"/>
      <c r="D137" s="87" t="s">
        <v>7</v>
      </c>
      <c r="E137" s="88"/>
      <c r="F137" s="89">
        <v>7</v>
      </c>
      <c r="G137" s="217" t="s">
        <v>16</v>
      </c>
      <c r="H137" s="90"/>
      <c r="I137" s="90" t="s">
        <v>10</v>
      </c>
      <c r="J137" s="89">
        <v>0</v>
      </c>
      <c r="K137" s="91"/>
      <c r="L137" s="115"/>
      <c r="M137" s="115"/>
      <c r="N137" s="115"/>
      <c r="O137" s="115"/>
    </row>
    <row r="138" spans="1:15" ht="18" customHeight="1" x14ac:dyDescent="0.2">
      <c r="A138" s="238"/>
      <c r="B138" s="215"/>
      <c r="C138" s="92"/>
      <c r="D138" s="93" t="s">
        <v>7</v>
      </c>
      <c r="E138" s="94"/>
      <c r="F138" s="95">
        <v>7</v>
      </c>
      <c r="G138" s="218"/>
      <c r="H138" s="96"/>
      <c r="I138" s="97" t="s">
        <v>10</v>
      </c>
      <c r="J138" s="95">
        <v>7</v>
      </c>
      <c r="K138" s="98"/>
      <c r="L138" s="115"/>
      <c r="M138" s="115"/>
      <c r="N138" s="115"/>
      <c r="O138" s="115"/>
    </row>
    <row r="139" spans="1:15" ht="18" customHeight="1" x14ac:dyDescent="0.2">
      <c r="A139" s="238"/>
      <c r="B139" s="215"/>
      <c r="C139" s="92"/>
      <c r="D139" s="93" t="s">
        <v>7</v>
      </c>
      <c r="E139" s="94"/>
      <c r="F139" s="95">
        <v>7</v>
      </c>
      <c r="G139" s="218"/>
      <c r="H139" s="96"/>
      <c r="I139" s="97" t="s">
        <v>10</v>
      </c>
      <c r="J139" s="95">
        <v>7</v>
      </c>
      <c r="K139" s="98"/>
      <c r="L139" s="115"/>
      <c r="M139" s="115"/>
      <c r="N139" s="115"/>
      <c r="O139" s="115"/>
    </row>
    <row r="140" spans="1:15" ht="18.75" customHeight="1" thickBot="1" x14ac:dyDescent="0.25">
      <c r="A140" s="238"/>
      <c r="B140" s="216"/>
      <c r="C140" s="99"/>
      <c r="D140" s="100" t="s">
        <v>7</v>
      </c>
      <c r="E140" s="101"/>
      <c r="F140" s="102">
        <v>7</v>
      </c>
      <c r="G140" s="219"/>
      <c r="H140" s="103"/>
      <c r="I140" s="104" t="s">
        <v>10</v>
      </c>
      <c r="J140" s="102">
        <v>7</v>
      </c>
      <c r="K140" s="105"/>
      <c r="L140" s="115"/>
      <c r="M140" s="115"/>
      <c r="N140" s="115"/>
      <c r="O140" s="115"/>
    </row>
    <row r="141" spans="1:15" ht="23.25" x14ac:dyDescent="0.35">
      <c r="A141" s="118"/>
      <c r="B141" s="106"/>
      <c r="C141" s="107"/>
      <c r="D141" s="194" t="s">
        <v>20</v>
      </c>
      <c r="E141" s="195"/>
      <c r="F141" s="108">
        <f>SUM(F117:F140)</f>
        <v>168</v>
      </c>
      <c r="G141" s="107"/>
      <c r="H141" s="185" t="s">
        <v>20</v>
      </c>
      <c r="I141" s="186"/>
      <c r="J141" s="108">
        <f>SUM(J117:J140)</f>
        <v>161</v>
      </c>
      <c r="K141" s="109"/>
      <c r="L141" s="115"/>
      <c r="M141" s="115"/>
      <c r="N141" s="115"/>
      <c r="O141" s="115"/>
    </row>
    <row r="142" spans="1:15" ht="24" thickBot="1" x14ac:dyDescent="0.4">
      <c r="A142" s="119"/>
      <c r="B142" s="110"/>
      <c r="C142" s="111"/>
      <c r="D142" s="187" t="s">
        <v>21</v>
      </c>
      <c r="E142" s="188"/>
      <c r="F142" s="112">
        <f>F141/240*1</f>
        <v>0.7</v>
      </c>
      <c r="G142" s="111"/>
      <c r="H142" s="189" t="s">
        <v>22</v>
      </c>
      <c r="I142" s="190"/>
      <c r="J142" s="113">
        <f>J141/240*1</f>
        <v>0.67083333333333328</v>
      </c>
      <c r="K142" s="114"/>
      <c r="L142" s="115"/>
      <c r="M142" s="115"/>
      <c r="N142" s="115"/>
      <c r="O142" s="115"/>
    </row>
    <row r="143" spans="1:15" ht="24" thickBot="1" x14ac:dyDescent="0.4">
      <c r="A143" s="120">
        <v>6</v>
      </c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</row>
    <row r="144" spans="1:15" ht="21" thickBot="1" x14ac:dyDescent="0.35">
      <c r="A144" s="244" t="s">
        <v>25</v>
      </c>
      <c r="B144" s="191" t="s">
        <v>0</v>
      </c>
      <c r="C144" s="192"/>
      <c r="D144" s="192"/>
      <c r="E144" s="192"/>
      <c r="F144" s="192"/>
      <c r="G144" s="192"/>
      <c r="H144" s="192"/>
      <c r="I144" s="192"/>
      <c r="J144" s="192"/>
      <c r="K144" s="193"/>
      <c r="L144" s="115"/>
      <c r="M144" s="115"/>
      <c r="N144" s="115"/>
      <c r="O144" s="115"/>
    </row>
    <row r="145" spans="1:15" ht="21" thickBot="1" x14ac:dyDescent="0.35">
      <c r="A145" s="245"/>
      <c r="B145" s="196" t="s">
        <v>17</v>
      </c>
      <c r="C145" s="197"/>
      <c r="D145" s="197"/>
      <c r="E145" s="197"/>
      <c r="F145" s="198"/>
      <c r="G145" s="199" t="s">
        <v>1</v>
      </c>
      <c r="H145" s="200"/>
      <c r="I145" s="200"/>
      <c r="J145" s="200"/>
      <c r="K145" s="201"/>
      <c r="L145" s="115"/>
      <c r="M145" s="115"/>
      <c r="N145" s="115"/>
      <c r="O145" s="115"/>
    </row>
    <row r="146" spans="1:15" ht="41.25" thickBot="1" x14ac:dyDescent="0.25">
      <c r="A146" s="246"/>
      <c r="B146" s="2" t="s">
        <v>2</v>
      </c>
      <c r="C146" s="3" t="s">
        <v>6</v>
      </c>
      <c r="D146" s="3" t="s">
        <v>7</v>
      </c>
      <c r="E146" s="3" t="s">
        <v>8</v>
      </c>
      <c r="F146" s="4" t="s">
        <v>19</v>
      </c>
      <c r="G146" s="5" t="s">
        <v>2</v>
      </c>
      <c r="H146" s="6" t="s">
        <v>3</v>
      </c>
      <c r="I146" s="6" t="s">
        <v>4</v>
      </c>
      <c r="J146" s="7" t="s">
        <v>18</v>
      </c>
      <c r="K146" s="8" t="s">
        <v>5</v>
      </c>
      <c r="L146" s="115"/>
      <c r="M146" s="115"/>
      <c r="N146" s="115"/>
      <c r="O146" s="115"/>
    </row>
    <row r="147" spans="1:15" ht="18" x14ac:dyDescent="0.2">
      <c r="A147" s="237">
        <v>45507</v>
      </c>
      <c r="B147" s="220" t="s">
        <v>9</v>
      </c>
      <c r="C147" s="9"/>
      <c r="D147" s="9" t="s">
        <v>7</v>
      </c>
      <c r="E147" s="10"/>
      <c r="F147" s="11">
        <v>7</v>
      </c>
      <c r="G147" s="223" t="s">
        <v>9</v>
      </c>
      <c r="H147" s="12"/>
      <c r="I147" s="12" t="s">
        <v>10</v>
      </c>
      <c r="J147" s="11">
        <v>7</v>
      </c>
      <c r="K147" s="13"/>
      <c r="L147" s="115"/>
      <c r="M147" s="115"/>
      <c r="N147" s="115"/>
      <c r="O147" s="115"/>
    </row>
    <row r="148" spans="1:15" ht="18" x14ac:dyDescent="0.2">
      <c r="A148" s="238"/>
      <c r="B148" s="221"/>
      <c r="C148" s="14"/>
      <c r="D148" s="9" t="s">
        <v>7</v>
      </c>
      <c r="E148" s="10"/>
      <c r="F148" s="11">
        <v>7</v>
      </c>
      <c r="G148" s="224"/>
      <c r="H148" s="15"/>
      <c r="I148" s="16" t="s">
        <v>10</v>
      </c>
      <c r="J148" s="11">
        <v>7</v>
      </c>
      <c r="K148" s="17"/>
      <c r="L148" s="115"/>
      <c r="M148" s="115"/>
      <c r="N148" s="115"/>
      <c r="O148" s="115"/>
    </row>
    <row r="149" spans="1:15" ht="18" x14ac:dyDescent="0.2">
      <c r="A149" s="238"/>
      <c r="B149" s="221"/>
      <c r="C149" s="14"/>
      <c r="D149" s="9" t="s">
        <v>7</v>
      </c>
      <c r="E149" s="10"/>
      <c r="F149" s="11">
        <v>7</v>
      </c>
      <c r="G149" s="224"/>
      <c r="H149" s="15"/>
      <c r="I149" s="16" t="s">
        <v>10</v>
      </c>
      <c r="J149" s="11">
        <v>7</v>
      </c>
      <c r="K149" s="17"/>
      <c r="L149" s="115"/>
      <c r="M149" s="115"/>
      <c r="N149" s="115"/>
      <c r="O149" s="115"/>
    </row>
    <row r="150" spans="1:15" ht="18.75" thickBot="1" x14ac:dyDescent="0.25">
      <c r="A150" s="238"/>
      <c r="B150" s="222"/>
      <c r="C150" s="18"/>
      <c r="D150" s="19" t="s">
        <v>7</v>
      </c>
      <c r="E150" s="20"/>
      <c r="F150" s="21">
        <v>7</v>
      </c>
      <c r="G150" s="225"/>
      <c r="H150" s="22"/>
      <c r="I150" s="23" t="s">
        <v>10</v>
      </c>
      <c r="J150" s="21">
        <v>7</v>
      </c>
      <c r="K150" s="24"/>
      <c r="L150" s="115"/>
      <c r="M150" s="115"/>
      <c r="N150" s="115"/>
      <c r="O150" s="115"/>
    </row>
    <row r="151" spans="1:15" ht="18" customHeight="1" x14ac:dyDescent="0.2">
      <c r="A151" s="237">
        <v>45508</v>
      </c>
      <c r="B151" s="226" t="s">
        <v>12</v>
      </c>
      <c r="C151" s="25"/>
      <c r="D151" s="25" t="s">
        <v>7</v>
      </c>
      <c r="E151" s="26"/>
      <c r="F151" s="27">
        <v>7</v>
      </c>
      <c r="G151" s="229" t="s">
        <v>12</v>
      </c>
      <c r="H151" s="28"/>
      <c r="I151" s="28" t="s">
        <v>10</v>
      </c>
      <c r="J151" s="27">
        <v>7</v>
      </c>
      <c r="K151" s="29"/>
      <c r="L151" s="115"/>
      <c r="M151" s="115"/>
      <c r="N151" s="115"/>
      <c r="O151" s="115"/>
    </row>
    <row r="152" spans="1:15" ht="18" customHeight="1" x14ac:dyDescent="0.2">
      <c r="A152" s="238"/>
      <c r="B152" s="227"/>
      <c r="C152" s="30"/>
      <c r="D152" s="31" t="s">
        <v>7</v>
      </c>
      <c r="E152" s="32"/>
      <c r="F152" s="33">
        <v>7</v>
      </c>
      <c r="G152" s="230"/>
      <c r="H152" s="34"/>
      <c r="I152" s="35" t="s">
        <v>10</v>
      </c>
      <c r="J152" s="33">
        <v>7</v>
      </c>
      <c r="K152" s="36"/>
      <c r="L152" s="115"/>
      <c r="M152" s="115"/>
      <c r="N152" s="115"/>
      <c r="O152" s="115"/>
    </row>
    <row r="153" spans="1:15" ht="18" customHeight="1" x14ac:dyDescent="0.2">
      <c r="A153" s="238"/>
      <c r="B153" s="227"/>
      <c r="C153" s="30"/>
      <c r="D153" s="31" t="s">
        <v>7</v>
      </c>
      <c r="E153" s="32"/>
      <c r="F153" s="33">
        <v>7</v>
      </c>
      <c r="G153" s="230"/>
      <c r="H153" s="34"/>
      <c r="I153" s="35" t="s">
        <v>10</v>
      </c>
      <c r="J153" s="33">
        <v>7</v>
      </c>
      <c r="K153" s="36"/>
      <c r="L153" s="115"/>
      <c r="M153" s="115"/>
      <c r="N153" s="115"/>
      <c r="O153" s="115"/>
    </row>
    <row r="154" spans="1:15" ht="18.75" customHeight="1" thickBot="1" x14ac:dyDescent="0.25">
      <c r="A154" s="238"/>
      <c r="B154" s="228"/>
      <c r="C154" s="37"/>
      <c r="D154" s="38" t="s">
        <v>7</v>
      </c>
      <c r="E154" s="39"/>
      <c r="F154" s="40">
        <v>7</v>
      </c>
      <c r="G154" s="231"/>
      <c r="H154" s="41"/>
      <c r="I154" s="42" t="s">
        <v>10</v>
      </c>
      <c r="J154" s="40">
        <v>7</v>
      </c>
      <c r="K154" s="43"/>
      <c r="L154" s="115"/>
      <c r="M154" s="115"/>
      <c r="N154" s="115"/>
      <c r="O154" s="115"/>
    </row>
    <row r="155" spans="1:15" ht="18" customHeight="1" x14ac:dyDescent="0.2">
      <c r="A155" s="237">
        <v>45509</v>
      </c>
      <c r="B155" s="232" t="s">
        <v>13</v>
      </c>
      <c r="C155" s="44"/>
      <c r="D155" s="44" t="s">
        <v>7</v>
      </c>
      <c r="E155" s="45"/>
      <c r="F155" s="46">
        <v>7</v>
      </c>
      <c r="G155" s="185" t="s">
        <v>13</v>
      </c>
      <c r="H155" s="47"/>
      <c r="I155" s="47" t="s">
        <v>10</v>
      </c>
      <c r="J155" s="46">
        <v>7</v>
      </c>
      <c r="K155" s="48"/>
      <c r="L155" s="115"/>
      <c r="M155" s="115"/>
      <c r="N155" s="115"/>
      <c r="O155" s="115"/>
    </row>
    <row r="156" spans="1:15" ht="18" customHeight="1" x14ac:dyDescent="0.2">
      <c r="A156" s="238"/>
      <c r="B156" s="233"/>
      <c r="C156" s="49"/>
      <c r="D156" s="44" t="s">
        <v>7</v>
      </c>
      <c r="E156" s="45"/>
      <c r="F156" s="46">
        <v>7</v>
      </c>
      <c r="G156" s="235"/>
      <c r="H156" s="50"/>
      <c r="I156" s="51" t="s">
        <v>10</v>
      </c>
      <c r="J156" s="46">
        <v>7</v>
      </c>
      <c r="K156" s="52"/>
      <c r="L156" s="115"/>
      <c r="M156" s="115"/>
      <c r="N156" s="115"/>
      <c r="O156" s="115"/>
    </row>
    <row r="157" spans="1:15" ht="18" customHeight="1" x14ac:dyDescent="0.2">
      <c r="A157" s="238"/>
      <c r="B157" s="233"/>
      <c r="C157" s="49"/>
      <c r="D157" s="44" t="s">
        <v>7</v>
      </c>
      <c r="E157" s="45"/>
      <c r="F157" s="46">
        <v>7</v>
      </c>
      <c r="G157" s="235"/>
      <c r="H157" s="50"/>
      <c r="I157" s="51" t="s">
        <v>10</v>
      </c>
      <c r="J157" s="46">
        <v>7</v>
      </c>
      <c r="K157" s="52"/>
      <c r="L157" s="115"/>
      <c r="M157" s="115"/>
      <c r="N157" s="115"/>
      <c r="O157" s="115"/>
    </row>
    <row r="158" spans="1:15" ht="18.75" customHeight="1" thickBot="1" x14ac:dyDescent="0.25">
      <c r="A158" s="238"/>
      <c r="B158" s="234"/>
      <c r="C158" s="53"/>
      <c r="D158" s="54" t="s">
        <v>7</v>
      </c>
      <c r="E158" s="55"/>
      <c r="F158" s="56">
        <v>7</v>
      </c>
      <c r="G158" s="236"/>
      <c r="H158" s="57"/>
      <c r="I158" s="58" t="s">
        <v>10</v>
      </c>
      <c r="J158" s="56">
        <v>7</v>
      </c>
      <c r="K158" s="59"/>
      <c r="L158" s="115"/>
      <c r="M158" s="115"/>
      <c r="N158" s="115"/>
      <c r="O158" s="115"/>
    </row>
    <row r="159" spans="1:15" ht="18" customHeight="1" x14ac:dyDescent="0.2">
      <c r="A159" s="237">
        <v>45510</v>
      </c>
      <c r="B159" s="202" t="s">
        <v>14</v>
      </c>
      <c r="C159" s="60"/>
      <c r="D159" s="60" t="s">
        <v>7</v>
      </c>
      <c r="E159" s="61"/>
      <c r="F159" s="62">
        <v>7</v>
      </c>
      <c r="G159" s="205" t="s">
        <v>14</v>
      </c>
      <c r="H159" s="44"/>
      <c r="I159" s="44" t="s">
        <v>10</v>
      </c>
      <c r="J159" s="62">
        <v>7</v>
      </c>
      <c r="K159" s="45"/>
      <c r="L159" s="115"/>
      <c r="M159" s="115"/>
      <c r="N159" s="115"/>
      <c r="O159" s="115"/>
    </row>
    <row r="160" spans="1:15" ht="18" customHeight="1" x14ac:dyDescent="0.2">
      <c r="A160" s="238"/>
      <c r="B160" s="203"/>
      <c r="C160" s="63"/>
      <c r="D160" s="64" t="s">
        <v>7</v>
      </c>
      <c r="E160" s="65"/>
      <c r="F160" s="66">
        <v>7</v>
      </c>
      <c r="G160" s="206"/>
      <c r="H160" s="49"/>
      <c r="I160" s="44" t="s">
        <v>10</v>
      </c>
      <c r="J160" s="66">
        <v>7</v>
      </c>
      <c r="K160" s="67"/>
      <c r="L160" s="115"/>
      <c r="M160" s="115"/>
      <c r="N160" s="115"/>
      <c r="O160" s="115"/>
    </row>
    <row r="161" spans="1:15" ht="18" customHeight="1" x14ac:dyDescent="0.2">
      <c r="A161" s="238"/>
      <c r="B161" s="203"/>
      <c r="C161" s="63"/>
      <c r="D161" s="64" t="s">
        <v>7</v>
      </c>
      <c r="E161" s="65"/>
      <c r="F161" s="66">
        <v>7</v>
      </c>
      <c r="G161" s="206"/>
      <c r="H161" s="49"/>
      <c r="I161" s="44" t="s">
        <v>10</v>
      </c>
      <c r="J161" s="66">
        <v>7</v>
      </c>
      <c r="K161" s="67"/>
      <c r="L161" s="115"/>
      <c r="M161" s="115"/>
      <c r="N161" s="115"/>
      <c r="O161" s="115"/>
    </row>
    <row r="162" spans="1:15" ht="18.75" customHeight="1" thickBot="1" x14ac:dyDescent="0.25">
      <c r="A162" s="238"/>
      <c r="B162" s="204"/>
      <c r="C162" s="68"/>
      <c r="D162" s="69" t="s">
        <v>7</v>
      </c>
      <c r="E162" s="70"/>
      <c r="F162" s="71">
        <v>7</v>
      </c>
      <c r="G162" s="207"/>
      <c r="H162" s="53"/>
      <c r="I162" s="54" t="s">
        <v>10</v>
      </c>
      <c r="J162" s="71">
        <v>7</v>
      </c>
      <c r="K162" s="72"/>
      <c r="L162" s="115"/>
      <c r="M162" s="115"/>
      <c r="N162" s="115"/>
      <c r="O162" s="115"/>
    </row>
    <row r="163" spans="1:15" ht="18" customHeight="1" x14ac:dyDescent="0.2">
      <c r="A163" s="237">
        <v>45511</v>
      </c>
      <c r="B163" s="208" t="s">
        <v>15</v>
      </c>
      <c r="C163" s="16"/>
      <c r="D163" s="16" t="s">
        <v>7</v>
      </c>
      <c r="E163" s="73"/>
      <c r="F163" s="74">
        <v>7</v>
      </c>
      <c r="G163" s="211" t="s">
        <v>15</v>
      </c>
      <c r="H163" s="75"/>
      <c r="I163" s="75" t="s">
        <v>10</v>
      </c>
      <c r="J163" s="74">
        <v>7</v>
      </c>
      <c r="K163" s="76"/>
      <c r="L163" s="115"/>
      <c r="M163" s="115"/>
      <c r="N163" s="115"/>
      <c r="O163" s="115"/>
    </row>
    <row r="164" spans="1:15" ht="18" customHeight="1" x14ac:dyDescent="0.2">
      <c r="A164" s="238"/>
      <c r="B164" s="209"/>
      <c r="C164" s="15"/>
      <c r="D164" s="16" t="s">
        <v>7</v>
      </c>
      <c r="E164" s="73"/>
      <c r="F164" s="74">
        <v>7</v>
      </c>
      <c r="G164" s="212"/>
      <c r="H164" s="77"/>
      <c r="I164" s="78" t="s">
        <v>10</v>
      </c>
      <c r="J164" s="74">
        <v>7</v>
      </c>
      <c r="K164" s="79"/>
      <c r="L164" s="115"/>
      <c r="M164" s="115"/>
      <c r="N164" s="115"/>
      <c r="O164" s="115"/>
    </row>
    <row r="165" spans="1:15" ht="18" customHeight="1" x14ac:dyDescent="0.2">
      <c r="A165" s="238"/>
      <c r="B165" s="209"/>
      <c r="C165" s="15"/>
      <c r="D165" s="16" t="s">
        <v>7</v>
      </c>
      <c r="E165" s="73"/>
      <c r="F165" s="74">
        <v>7</v>
      </c>
      <c r="G165" s="212"/>
      <c r="H165" s="77"/>
      <c r="I165" s="78" t="s">
        <v>10</v>
      </c>
      <c r="J165" s="74">
        <v>7</v>
      </c>
      <c r="K165" s="79"/>
      <c r="L165" s="115"/>
      <c r="M165" s="115"/>
      <c r="N165" s="115"/>
      <c r="O165" s="115"/>
    </row>
    <row r="166" spans="1:15" ht="18.75" customHeight="1" thickBot="1" x14ac:dyDescent="0.25">
      <c r="A166" s="238"/>
      <c r="B166" s="210"/>
      <c r="C166" s="80"/>
      <c r="D166" s="81" t="s">
        <v>7</v>
      </c>
      <c r="E166" s="82"/>
      <c r="F166" s="83">
        <v>7</v>
      </c>
      <c r="G166" s="213"/>
      <c r="H166" s="84"/>
      <c r="I166" s="85" t="s">
        <v>10</v>
      </c>
      <c r="J166" s="83">
        <v>7</v>
      </c>
      <c r="K166" s="86"/>
      <c r="L166" s="115"/>
      <c r="M166" s="115"/>
      <c r="N166" s="115"/>
      <c r="O166" s="115"/>
    </row>
    <row r="167" spans="1:15" ht="18" customHeight="1" x14ac:dyDescent="0.2">
      <c r="A167" s="237">
        <v>45512</v>
      </c>
      <c r="B167" s="214" t="s">
        <v>16</v>
      </c>
      <c r="C167" s="87"/>
      <c r="D167" s="87" t="s">
        <v>7</v>
      </c>
      <c r="E167" s="88"/>
      <c r="F167" s="89">
        <v>7</v>
      </c>
      <c r="G167" s="217" t="s">
        <v>16</v>
      </c>
      <c r="H167" s="90"/>
      <c r="I167" s="90" t="s">
        <v>10</v>
      </c>
      <c r="J167" s="89">
        <v>0</v>
      </c>
      <c r="K167" s="91"/>
      <c r="L167" s="115"/>
      <c r="M167" s="115"/>
      <c r="N167" s="115"/>
      <c r="O167" s="115"/>
    </row>
    <row r="168" spans="1:15" ht="18" customHeight="1" x14ac:dyDescent="0.2">
      <c r="A168" s="238"/>
      <c r="B168" s="215"/>
      <c r="C168" s="92"/>
      <c r="D168" s="93" t="s">
        <v>7</v>
      </c>
      <c r="E168" s="94"/>
      <c r="F168" s="95">
        <v>7</v>
      </c>
      <c r="G168" s="218"/>
      <c r="H168" s="96"/>
      <c r="I168" s="97" t="s">
        <v>10</v>
      </c>
      <c r="J168" s="95">
        <v>7</v>
      </c>
      <c r="K168" s="98"/>
      <c r="L168" s="115"/>
      <c r="M168" s="115"/>
      <c r="N168" s="115"/>
      <c r="O168" s="115"/>
    </row>
    <row r="169" spans="1:15" ht="18" customHeight="1" x14ac:dyDescent="0.2">
      <c r="A169" s="238"/>
      <c r="B169" s="215"/>
      <c r="C169" s="92"/>
      <c r="D169" s="93" t="s">
        <v>7</v>
      </c>
      <c r="E169" s="94"/>
      <c r="F169" s="95">
        <v>7</v>
      </c>
      <c r="G169" s="218"/>
      <c r="H169" s="96"/>
      <c r="I169" s="97" t="s">
        <v>10</v>
      </c>
      <c r="J169" s="95">
        <v>7</v>
      </c>
      <c r="K169" s="98"/>
      <c r="L169" s="115"/>
      <c r="M169" s="115"/>
      <c r="N169" s="115"/>
      <c r="O169" s="115"/>
    </row>
    <row r="170" spans="1:15" ht="18.75" customHeight="1" thickBot="1" x14ac:dyDescent="0.25">
      <c r="A170" s="238"/>
      <c r="B170" s="216"/>
      <c r="C170" s="99"/>
      <c r="D170" s="100" t="s">
        <v>7</v>
      </c>
      <c r="E170" s="101"/>
      <c r="F170" s="102">
        <v>7</v>
      </c>
      <c r="G170" s="219"/>
      <c r="H170" s="103"/>
      <c r="I170" s="104" t="s">
        <v>10</v>
      </c>
      <c r="J170" s="102">
        <v>7</v>
      </c>
      <c r="K170" s="105"/>
      <c r="L170" s="115"/>
      <c r="M170" s="115"/>
      <c r="N170" s="115"/>
      <c r="O170" s="115"/>
    </row>
    <row r="171" spans="1:15" ht="23.25" x14ac:dyDescent="0.35">
      <c r="A171" s="118"/>
      <c r="B171" s="106"/>
      <c r="C171" s="107"/>
      <c r="D171" s="194" t="s">
        <v>20</v>
      </c>
      <c r="E171" s="195"/>
      <c r="F171" s="108">
        <f>SUM(F147:F170)</f>
        <v>168</v>
      </c>
      <c r="G171" s="107"/>
      <c r="H171" s="185" t="s">
        <v>20</v>
      </c>
      <c r="I171" s="186"/>
      <c r="J171" s="108">
        <f>SUM(J147:J170)</f>
        <v>161</v>
      </c>
      <c r="K171" s="109"/>
      <c r="L171" s="115"/>
      <c r="M171" s="115"/>
      <c r="N171" s="115"/>
      <c r="O171" s="115"/>
    </row>
    <row r="172" spans="1:15" ht="24" thickBot="1" x14ac:dyDescent="0.4">
      <c r="A172" s="119"/>
      <c r="B172" s="110"/>
      <c r="C172" s="111"/>
      <c r="D172" s="187" t="s">
        <v>21</v>
      </c>
      <c r="E172" s="188"/>
      <c r="F172" s="112">
        <f>F171/240*1</f>
        <v>0.7</v>
      </c>
      <c r="G172" s="111"/>
      <c r="H172" s="189" t="s">
        <v>22</v>
      </c>
      <c r="I172" s="190"/>
      <c r="J172" s="113">
        <f>J171/240*1</f>
        <v>0.67083333333333328</v>
      </c>
      <c r="K172" s="114"/>
      <c r="L172" s="115"/>
      <c r="M172" s="115"/>
      <c r="N172" s="115"/>
      <c r="O172" s="115"/>
    </row>
    <row r="173" spans="1:15" ht="24" thickBot="1" x14ac:dyDescent="0.4">
      <c r="A173" s="120">
        <v>7</v>
      </c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</row>
    <row r="174" spans="1:15" ht="21" thickBot="1" x14ac:dyDescent="0.35">
      <c r="A174" s="244" t="s">
        <v>25</v>
      </c>
      <c r="B174" s="191" t="s">
        <v>0</v>
      </c>
      <c r="C174" s="192"/>
      <c r="D174" s="192"/>
      <c r="E174" s="192"/>
      <c r="F174" s="192"/>
      <c r="G174" s="192"/>
      <c r="H174" s="192"/>
      <c r="I174" s="192"/>
      <c r="J174" s="192"/>
      <c r="K174" s="193"/>
      <c r="L174" s="115"/>
      <c r="M174" s="115"/>
      <c r="N174" s="115"/>
      <c r="O174" s="115"/>
    </row>
    <row r="175" spans="1:15" ht="21" thickBot="1" x14ac:dyDescent="0.35">
      <c r="A175" s="245"/>
      <c r="B175" s="196" t="s">
        <v>17</v>
      </c>
      <c r="C175" s="197"/>
      <c r="D175" s="197"/>
      <c r="E175" s="197"/>
      <c r="F175" s="198"/>
      <c r="G175" s="199" t="s">
        <v>1</v>
      </c>
      <c r="H175" s="200"/>
      <c r="I175" s="200"/>
      <c r="J175" s="200"/>
      <c r="K175" s="201"/>
      <c r="L175" s="115"/>
      <c r="M175" s="115"/>
      <c r="N175" s="115"/>
      <c r="O175" s="115"/>
    </row>
    <row r="176" spans="1:15" ht="41.25" thickBot="1" x14ac:dyDescent="0.25">
      <c r="A176" s="246"/>
      <c r="B176" s="2" t="s">
        <v>2</v>
      </c>
      <c r="C176" s="3" t="s">
        <v>6</v>
      </c>
      <c r="D176" s="3" t="s">
        <v>7</v>
      </c>
      <c r="E176" s="3" t="s">
        <v>8</v>
      </c>
      <c r="F176" s="4" t="s">
        <v>19</v>
      </c>
      <c r="G176" s="5" t="s">
        <v>2</v>
      </c>
      <c r="H176" s="6" t="s">
        <v>3</v>
      </c>
      <c r="I176" s="6" t="s">
        <v>4</v>
      </c>
      <c r="J176" s="7" t="s">
        <v>18</v>
      </c>
      <c r="K176" s="8" t="s">
        <v>5</v>
      </c>
      <c r="L176" s="115"/>
      <c r="M176" s="115"/>
      <c r="N176" s="115"/>
      <c r="O176" s="115"/>
    </row>
    <row r="177" spans="1:15" ht="18" x14ac:dyDescent="0.2">
      <c r="A177" s="237">
        <v>45514</v>
      </c>
      <c r="B177" s="220" t="s">
        <v>9</v>
      </c>
      <c r="C177" s="9"/>
      <c r="D177" s="9" t="s">
        <v>7</v>
      </c>
      <c r="E177" s="10"/>
      <c r="F177" s="11">
        <v>7</v>
      </c>
      <c r="G177" s="223" t="s">
        <v>9</v>
      </c>
      <c r="H177" s="12"/>
      <c r="I177" s="12" t="s">
        <v>10</v>
      </c>
      <c r="J177" s="11">
        <v>7</v>
      </c>
      <c r="K177" s="13"/>
      <c r="L177" s="115"/>
      <c r="M177" s="115"/>
      <c r="N177" s="115"/>
      <c r="O177" s="115"/>
    </row>
    <row r="178" spans="1:15" ht="18" x14ac:dyDescent="0.2">
      <c r="A178" s="238"/>
      <c r="B178" s="221"/>
      <c r="C178" s="14"/>
      <c r="D178" s="9" t="s">
        <v>7</v>
      </c>
      <c r="E178" s="10"/>
      <c r="F178" s="11">
        <v>7</v>
      </c>
      <c r="G178" s="224"/>
      <c r="H178" s="15"/>
      <c r="I178" s="16" t="s">
        <v>10</v>
      </c>
      <c r="J178" s="11">
        <v>7</v>
      </c>
      <c r="K178" s="17"/>
      <c r="L178" s="115"/>
      <c r="M178" s="115"/>
      <c r="N178" s="115"/>
      <c r="O178" s="115"/>
    </row>
    <row r="179" spans="1:15" ht="18" x14ac:dyDescent="0.2">
      <c r="A179" s="238"/>
      <c r="B179" s="221"/>
      <c r="C179" s="14"/>
      <c r="D179" s="9" t="s">
        <v>7</v>
      </c>
      <c r="E179" s="10"/>
      <c r="F179" s="11">
        <v>7</v>
      </c>
      <c r="G179" s="224"/>
      <c r="H179" s="15"/>
      <c r="I179" s="16" t="s">
        <v>10</v>
      </c>
      <c r="J179" s="11">
        <v>7</v>
      </c>
      <c r="K179" s="17"/>
      <c r="L179" s="115"/>
      <c r="M179" s="115"/>
      <c r="N179" s="115"/>
      <c r="O179" s="115"/>
    </row>
    <row r="180" spans="1:15" ht="18.75" thickBot="1" x14ac:dyDescent="0.25">
      <c r="A180" s="238"/>
      <c r="B180" s="222"/>
      <c r="C180" s="18"/>
      <c r="D180" s="19" t="s">
        <v>7</v>
      </c>
      <c r="E180" s="20"/>
      <c r="F180" s="21">
        <v>7</v>
      </c>
      <c r="G180" s="225"/>
      <c r="H180" s="22"/>
      <c r="I180" s="23" t="s">
        <v>10</v>
      </c>
      <c r="J180" s="21">
        <v>7</v>
      </c>
      <c r="K180" s="24"/>
      <c r="L180" s="115"/>
      <c r="M180" s="115"/>
      <c r="N180" s="115"/>
      <c r="O180" s="115"/>
    </row>
    <row r="181" spans="1:15" ht="18" customHeight="1" x14ac:dyDescent="0.2">
      <c r="A181" s="237">
        <v>45515</v>
      </c>
      <c r="B181" s="226" t="s">
        <v>12</v>
      </c>
      <c r="C181" s="25"/>
      <c r="D181" s="25" t="s">
        <v>7</v>
      </c>
      <c r="E181" s="26"/>
      <c r="F181" s="27">
        <v>7</v>
      </c>
      <c r="G181" s="229" t="s">
        <v>12</v>
      </c>
      <c r="H181" s="28"/>
      <c r="I181" s="28" t="s">
        <v>10</v>
      </c>
      <c r="J181" s="27">
        <v>7</v>
      </c>
      <c r="K181" s="29"/>
      <c r="L181" s="115"/>
      <c r="M181" s="115"/>
      <c r="N181" s="115"/>
      <c r="O181" s="115"/>
    </row>
    <row r="182" spans="1:15" ht="18" customHeight="1" x14ac:dyDescent="0.2">
      <c r="A182" s="238"/>
      <c r="B182" s="227"/>
      <c r="C182" s="30"/>
      <c r="D182" s="31" t="s">
        <v>7</v>
      </c>
      <c r="E182" s="32"/>
      <c r="F182" s="33">
        <v>7</v>
      </c>
      <c r="G182" s="230"/>
      <c r="H182" s="34"/>
      <c r="I182" s="35" t="s">
        <v>10</v>
      </c>
      <c r="J182" s="33">
        <v>7</v>
      </c>
      <c r="K182" s="36"/>
      <c r="L182" s="115"/>
      <c r="M182" s="115"/>
      <c r="N182" s="115"/>
      <c r="O182" s="115"/>
    </row>
    <row r="183" spans="1:15" ht="18" customHeight="1" x14ac:dyDescent="0.2">
      <c r="A183" s="238"/>
      <c r="B183" s="227"/>
      <c r="C183" s="30"/>
      <c r="D183" s="31" t="s">
        <v>7</v>
      </c>
      <c r="E183" s="32"/>
      <c r="F183" s="33">
        <v>7</v>
      </c>
      <c r="G183" s="230"/>
      <c r="H183" s="34"/>
      <c r="I183" s="35" t="s">
        <v>10</v>
      </c>
      <c r="J183" s="33">
        <v>7</v>
      </c>
      <c r="K183" s="36"/>
      <c r="L183" s="115"/>
      <c r="M183" s="115"/>
      <c r="N183" s="115"/>
      <c r="O183" s="115"/>
    </row>
    <row r="184" spans="1:15" ht="18.75" customHeight="1" thickBot="1" x14ac:dyDescent="0.25">
      <c r="A184" s="238"/>
      <c r="B184" s="228"/>
      <c r="C184" s="37"/>
      <c r="D184" s="38" t="s">
        <v>7</v>
      </c>
      <c r="E184" s="39"/>
      <c r="F184" s="40">
        <v>7</v>
      </c>
      <c r="G184" s="231"/>
      <c r="H184" s="41"/>
      <c r="I184" s="42" t="s">
        <v>10</v>
      </c>
      <c r="J184" s="40">
        <v>7</v>
      </c>
      <c r="K184" s="43"/>
      <c r="L184" s="115"/>
      <c r="M184" s="115"/>
      <c r="N184" s="115"/>
      <c r="O184" s="115"/>
    </row>
    <row r="185" spans="1:15" ht="18" customHeight="1" x14ac:dyDescent="0.2">
      <c r="A185" s="237">
        <v>45516</v>
      </c>
      <c r="B185" s="232" t="s">
        <v>13</v>
      </c>
      <c r="C185" s="44"/>
      <c r="D185" s="44" t="s">
        <v>7</v>
      </c>
      <c r="E185" s="45"/>
      <c r="F185" s="46">
        <v>7</v>
      </c>
      <c r="G185" s="185" t="s">
        <v>13</v>
      </c>
      <c r="H185" s="47"/>
      <c r="I185" s="47" t="s">
        <v>10</v>
      </c>
      <c r="J185" s="46">
        <v>7</v>
      </c>
      <c r="K185" s="48"/>
      <c r="L185" s="115"/>
      <c r="M185" s="115"/>
      <c r="N185" s="115"/>
      <c r="O185" s="115"/>
    </row>
    <row r="186" spans="1:15" ht="18" customHeight="1" x14ac:dyDescent="0.2">
      <c r="A186" s="238"/>
      <c r="B186" s="233"/>
      <c r="C186" s="49"/>
      <c r="D186" s="44" t="s">
        <v>7</v>
      </c>
      <c r="E186" s="45"/>
      <c r="F186" s="46">
        <v>7</v>
      </c>
      <c r="G186" s="235"/>
      <c r="H186" s="50"/>
      <c r="I186" s="51" t="s">
        <v>10</v>
      </c>
      <c r="J186" s="46">
        <v>7</v>
      </c>
      <c r="K186" s="52"/>
      <c r="L186" s="115"/>
      <c r="M186" s="115"/>
      <c r="N186" s="115"/>
      <c r="O186" s="115"/>
    </row>
    <row r="187" spans="1:15" ht="18" customHeight="1" x14ac:dyDescent="0.2">
      <c r="A187" s="238"/>
      <c r="B187" s="233"/>
      <c r="C187" s="49"/>
      <c r="D187" s="44" t="s">
        <v>7</v>
      </c>
      <c r="E187" s="45"/>
      <c r="F187" s="46">
        <v>7</v>
      </c>
      <c r="G187" s="235"/>
      <c r="H187" s="50"/>
      <c r="I187" s="51" t="s">
        <v>10</v>
      </c>
      <c r="J187" s="46">
        <v>7</v>
      </c>
      <c r="K187" s="52"/>
      <c r="L187" s="115"/>
      <c r="M187" s="115"/>
      <c r="N187" s="115"/>
      <c r="O187" s="115"/>
    </row>
    <row r="188" spans="1:15" ht="18.75" customHeight="1" thickBot="1" x14ac:dyDescent="0.25">
      <c r="A188" s="238"/>
      <c r="B188" s="234"/>
      <c r="C188" s="53"/>
      <c r="D188" s="54" t="s">
        <v>7</v>
      </c>
      <c r="E188" s="55"/>
      <c r="F188" s="56">
        <v>7</v>
      </c>
      <c r="G188" s="236"/>
      <c r="H188" s="57"/>
      <c r="I188" s="58" t="s">
        <v>10</v>
      </c>
      <c r="J188" s="56">
        <v>7</v>
      </c>
      <c r="K188" s="59"/>
      <c r="L188" s="115"/>
      <c r="M188" s="115"/>
      <c r="N188" s="115"/>
      <c r="O188" s="115"/>
    </row>
    <row r="189" spans="1:15" ht="18" customHeight="1" x14ac:dyDescent="0.2">
      <c r="A189" s="237">
        <v>45517</v>
      </c>
      <c r="B189" s="202" t="s">
        <v>14</v>
      </c>
      <c r="C189" s="60"/>
      <c r="D189" s="60" t="s">
        <v>7</v>
      </c>
      <c r="E189" s="61"/>
      <c r="F189" s="62">
        <v>7</v>
      </c>
      <c r="G189" s="205" t="s">
        <v>14</v>
      </c>
      <c r="H189" s="44"/>
      <c r="I189" s="44" t="s">
        <v>10</v>
      </c>
      <c r="J189" s="62">
        <v>7</v>
      </c>
      <c r="K189" s="45"/>
      <c r="L189" s="115"/>
      <c r="M189" s="115"/>
      <c r="N189" s="115"/>
      <c r="O189" s="115"/>
    </row>
    <row r="190" spans="1:15" ht="18" customHeight="1" x14ac:dyDescent="0.2">
      <c r="A190" s="238"/>
      <c r="B190" s="203"/>
      <c r="C190" s="63"/>
      <c r="D190" s="64" t="s">
        <v>7</v>
      </c>
      <c r="E190" s="65"/>
      <c r="F190" s="66">
        <v>7</v>
      </c>
      <c r="G190" s="206"/>
      <c r="H190" s="49"/>
      <c r="I190" s="44" t="s">
        <v>10</v>
      </c>
      <c r="J190" s="66">
        <v>7</v>
      </c>
      <c r="K190" s="67"/>
      <c r="L190" s="115"/>
      <c r="M190" s="115"/>
      <c r="N190" s="115"/>
      <c r="O190" s="115"/>
    </row>
    <row r="191" spans="1:15" ht="18" customHeight="1" x14ac:dyDescent="0.2">
      <c r="A191" s="238"/>
      <c r="B191" s="203"/>
      <c r="C191" s="63"/>
      <c r="D191" s="64" t="s">
        <v>7</v>
      </c>
      <c r="E191" s="65"/>
      <c r="F191" s="66">
        <v>7</v>
      </c>
      <c r="G191" s="206"/>
      <c r="H191" s="49"/>
      <c r="I191" s="44" t="s">
        <v>10</v>
      </c>
      <c r="J191" s="66">
        <v>7</v>
      </c>
      <c r="K191" s="67"/>
      <c r="L191" s="115"/>
      <c r="M191" s="115"/>
      <c r="N191" s="115"/>
      <c r="O191" s="115"/>
    </row>
    <row r="192" spans="1:15" ht="18.75" customHeight="1" thickBot="1" x14ac:dyDescent="0.25">
      <c r="A192" s="238"/>
      <c r="B192" s="204"/>
      <c r="C192" s="68"/>
      <c r="D192" s="69" t="s">
        <v>7</v>
      </c>
      <c r="E192" s="70"/>
      <c r="F192" s="71">
        <v>7</v>
      </c>
      <c r="G192" s="207"/>
      <c r="H192" s="53"/>
      <c r="I192" s="54" t="s">
        <v>10</v>
      </c>
      <c r="J192" s="71">
        <v>7</v>
      </c>
      <c r="K192" s="72"/>
      <c r="L192" s="115"/>
      <c r="M192" s="115"/>
      <c r="N192" s="115"/>
      <c r="O192" s="115"/>
    </row>
    <row r="193" spans="1:15" ht="18" customHeight="1" x14ac:dyDescent="0.2">
      <c r="A193" s="237">
        <v>45518</v>
      </c>
      <c r="B193" s="208" t="s">
        <v>15</v>
      </c>
      <c r="C193" s="16"/>
      <c r="D193" s="16" t="s">
        <v>7</v>
      </c>
      <c r="E193" s="73"/>
      <c r="F193" s="74">
        <v>7</v>
      </c>
      <c r="G193" s="211" t="s">
        <v>15</v>
      </c>
      <c r="H193" s="75"/>
      <c r="I193" s="75" t="s">
        <v>10</v>
      </c>
      <c r="J193" s="74">
        <v>7</v>
      </c>
      <c r="K193" s="76"/>
      <c r="L193" s="115"/>
      <c r="M193" s="115"/>
      <c r="N193" s="115"/>
      <c r="O193" s="115"/>
    </row>
    <row r="194" spans="1:15" ht="18" customHeight="1" x14ac:dyDescent="0.2">
      <c r="A194" s="238"/>
      <c r="B194" s="209"/>
      <c r="C194" s="15"/>
      <c r="D194" s="16" t="s">
        <v>7</v>
      </c>
      <c r="E194" s="73"/>
      <c r="F194" s="74">
        <v>7</v>
      </c>
      <c r="G194" s="212"/>
      <c r="H194" s="77"/>
      <c r="I194" s="78" t="s">
        <v>10</v>
      </c>
      <c r="J194" s="74">
        <v>7</v>
      </c>
      <c r="K194" s="79"/>
      <c r="L194" s="115"/>
      <c r="M194" s="115"/>
      <c r="N194" s="115"/>
      <c r="O194" s="115"/>
    </row>
    <row r="195" spans="1:15" ht="18" customHeight="1" x14ac:dyDescent="0.2">
      <c r="A195" s="238"/>
      <c r="B195" s="209"/>
      <c r="C195" s="15"/>
      <c r="D195" s="16" t="s">
        <v>7</v>
      </c>
      <c r="E195" s="73"/>
      <c r="F195" s="74">
        <v>7</v>
      </c>
      <c r="G195" s="212"/>
      <c r="H195" s="77"/>
      <c r="I195" s="78" t="s">
        <v>10</v>
      </c>
      <c r="J195" s="74">
        <v>7</v>
      </c>
      <c r="K195" s="79"/>
      <c r="L195" s="115"/>
      <c r="M195" s="115"/>
      <c r="N195" s="115"/>
      <c r="O195" s="115"/>
    </row>
    <row r="196" spans="1:15" ht="18.75" customHeight="1" thickBot="1" x14ac:dyDescent="0.25">
      <c r="A196" s="238"/>
      <c r="B196" s="210"/>
      <c r="C196" s="80"/>
      <c r="D196" s="81" t="s">
        <v>7</v>
      </c>
      <c r="E196" s="82"/>
      <c r="F196" s="83">
        <v>7</v>
      </c>
      <c r="G196" s="213"/>
      <c r="H196" s="84"/>
      <c r="I196" s="85" t="s">
        <v>10</v>
      </c>
      <c r="J196" s="83">
        <v>7</v>
      </c>
      <c r="K196" s="86"/>
      <c r="L196" s="115"/>
      <c r="M196" s="115"/>
      <c r="N196" s="115"/>
      <c r="O196" s="115"/>
    </row>
    <row r="197" spans="1:15" ht="18" customHeight="1" x14ac:dyDescent="0.2">
      <c r="A197" s="237">
        <v>45519</v>
      </c>
      <c r="B197" s="214" t="s">
        <v>16</v>
      </c>
      <c r="C197" s="87"/>
      <c r="D197" s="87" t="s">
        <v>7</v>
      </c>
      <c r="E197" s="88"/>
      <c r="F197" s="89">
        <v>7</v>
      </c>
      <c r="G197" s="217" t="s">
        <v>16</v>
      </c>
      <c r="H197" s="90"/>
      <c r="I197" s="90" t="s">
        <v>10</v>
      </c>
      <c r="J197" s="89">
        <v>0</v>
      </c>
      <c r="K197" s="91"/>
      <c r="L197" s="115"/>
      <c r="M197" s="115"/>
      <c r="N197" s="115"/>
      <c r="O197" s="115"/>
    </row>
    <row r="198" spans="1:15" ht="18" customHeight="1" x14ac:dyDescent="0.2">
      <c r="A198" s="238"/>
      <c r="B198" s="215"/>
      <c r="C198" s="92"/>
      <c r="D198" s="93" t="s">
        <v>7</v>
      </c>
      <c r="E198" s="94"/>
      <c r="F198" s="95">
        <v>7</v>
      </c>
      <c r="G198" s="218"/>
      <c r="H198" s="96"/>
      <c r="I198" s="97" t="s">
        <v>10</v>
      </c>
      <c r="J198" s="95">
        <v>7</v>
      </c>
      <c r="K198" s="98"/>
      <c r="L198" s="115"/>
      <c r="M198" s="115"/>
      <c r="N198" s="115"/>
      <c r="O198" s="115"/>
    </row>
    <row r="199" spans="1:15" ht="18" customHeight="1" x14ac:dyDescent="0.2">
      <c r="A199" s="238"/>
      <c r="B199" s="215"/>
      <c r="C199" s="92"/>
      <c r="D199" s="93" t="s">
        <v>7</v>
      </c>
      <c r="E199" s="94"/>
      <c r="F199" s="95">
        <v>7</v>
      </c>
      <c r="G199" s="218"/>
      <c r="H199" s="96"/>
      <c r="I199" s="97" t="s">
        <v>10</v>
      </c>
      <c r="J199" s="95">
        <v>7</v>
      </c>
      <c r="K199" s="98"/>
      <c r="L199" s="115"/>
      <c r="M199" s="115"/>
      <c r="N199" s="115"/>
      <c r="O199" s="115"/>
    </row>
    <row r="200" spans="1:15" ht="18.75" customHeight="1" thickBot="1" x14ac:dyDescent="0.25">
      <c r="A200" s="238"/>
      <c r="B200" s="216"/>
      <c r="C200" s="99"/>
      <c r="D200" s="100" t="s">
        <v>7</v>
      </c>
      <c r="E200" s="101"/>
      <c r="F200" s="102">
        <v>7</v>
      </c>
      <c r="G200" s="219"/>
      <c r="H200" s="103"/>
      <c r="I200" s="104" t="s">
        <v>10</v>
      </c>
      <c r="J200" s="102">
        <v>7</v>
      </c>
      <c r="K200" s="105"/>
      <c r="L200" s="115"/>
      <c r="M200" s="115"/>
      <c r="N200" s="115"/>
      <c r="O200" s="115"/>
    </row>
    <row r="201" spans="1:15" ht="23.25" x14ac:dyDescent="0.35">
      <c r="A201" s="118"/>
      <c r="B201" s="106"/>
      <c r="C201" s="107"/>
      <c r="D201" s="194" t="s">
        <v>20</v>
      </c>
      <c r="E201" s="195"/>
      <c r="F201" s="108">
        <f>SUM(F177:F200)</f>
        <v>168</v>
      </c>
      <c r="G201" s="107"/>
      <c r="H201" s="185" t="s">
        <v>20</v>
      </c>
      <c r="I201" s="186"/>
      <c r="J201" s="108">
        <f>SUM(J177:J200)</f>
        <v>161</v>
      </c>
      <c r="K201" s="109"/>
      <c r="L201" s="115"/>
      <c r="M201" s="115"/>
      <c r="N201" s="115"/>
      <c r="O201" s="115"/>
    </row>
    <row r="202" spans="1:15" ht="24" thickBot="1" x14ac:dyDescent="0.4">
      <c r="A202" s="119"/>
      <c r="B202" s="110"/>
      <c r="C202" s="111"/>
      <c r="D202" s="187" t="s">
        <v>21</v>
      </c>
      <c r="E202" s="188"/>
      <c r="F202" s="112">
        <f>F201/240*1</f>
        <v>0.7</v>
      </c>
      <c r="G202" s="111"/>
      <c r="H202" s="189" t="s">
        <v>22</v>
      </c>
      <c r="I202" s="190"/>
      <c r="J202" s="113">
        <f>J201/240*1</f>
        <v>0.67083333333333328</v>
      </c>
      <c r="K202" s="114"/>
      <c r="L202" s="115"/>
      <c r="M202" s="115"/>
      <c r="N202" s="115"/>
      <c r="O202" s="115"/>
    </row>
    <row r="203" spans="1:15" ht="24" thickBot="1" x14ac:dyDescent="0.4">
      <c r="A203" s="120">
        <v>8</v>
      </c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</row>
    <row r="204" spans="1:15" ht="21" thickBot="1" x14ac:dyDescent="0.35">
      <c r="A204" s="244" t="s">
        <v>25</v>
      </c>
      <c r="B204" s="191" t="s">
        <v>0</v>
      </c>
      <c r="C204" s="192"/>
      <c r="D204" s="192"/>
      <c r="E204" s="192"/>
      <c r="F204" s="192"/>
      <c r="G204" s="192"/>
      <c r="H204" s="192"/>
      <c r="I204" s="192"/>
      <c r="J204" s="192"/>
      <c r="K204" s="193"/>
      <c r="L204" s="115"/>
      <c r="M204" s="115"/>
      <c r="N204" s="115"/>
      <c r="O204" s="115"/>
    </row>
    <row r="205" spans="1:15" ht="21" thickBot="1" x14ac:dyDescent="0.35">
      <c r="A205" s="245"/>
      <c r="B205" s="196" t="s">
        <v>17</v>
      </c>
      <c r="C205" s="197"/>
      <c r="D205" s="197"/>
      <c r="E205" s="197"/>
      <c r="F205" s="198"/>
      <c r="G205" s="199" t="s">
        <v>1</v>
      </c>
      <c r="H205" s="200"/>
      <c r="I205" s="200"/>
      <c r="J205" s="200"/>
      <c r="K205" s="201"/>
      <c r="L205" s="115"/>
      <c r="M205" s="115"/>
      <c r="N205" s="115"/>
      <c r="O205" s="115"/>
    </row>
    <row r="206" spans="1:15" ht="41.25" thickBot="1" x14ac:dyDescent="0.25">
      <c r="A206" s="246"/>
      <c r="B206" s="2" t="s">
        <v>2</v>
      </c>
      <c r="C206" s="3" t="s">
        <v>6</v>
      </c>
      <c r="D206" s="3" t="s">
        <v>7</v>
      </c>
      <c r="E206" s="3" t="s">
        <v>8</v>
      </c>
      <c r="F206" s="4" t="s">
        <v>19</v>
      </c>
      <c r="G206" s="5" t="s">
        <v>2</v>
      </c>
      <c r="H206" s="6" t="s">
        <v>3</v>
      </c>
      <c r="I206" s="6" t="s">
        <v>4</v>
      </c>
      <c r="J206" s="7" t="s">
        <v>18</v>
      </c>
      <c r="K206" s="8" t="s">
        <v>5</v>
      </c>
      <c r="L206" s="115"/>
      <c r="M206" s="115"/>
      <c r="N206" s="115"/>
      <c r="O206" s="115"/>
    </row>
    <row r="207" spans="1:15" ht="18" x14ac:dyDescent="0.2">
      <c r="A207" s="237">
        <v>45521</v>
      </c>
      <c r="B207" s="220" t="s">
        <v>9</v>
      </c>
      <c r="C207" s="9"/>
      <c r="D207" s="9" t="s">
        <v>7</v>
      </c>
      <c r="E207" s="10"/>
      <c r="F207" s="11">
        <v>7</v>
      </c>
      <c r="G207" s="223" t="s">
        <v>9</v>
      </c>
      <c r="H207" s="12"/>
      <c r="I207" s="12" t="s">
        <v>10</v>
      </c>
      <c r="J207" s="11">
        <v>7</v>
      </c>
      <c r="K207" s="13"/>
      <c r="L207" s="115"/>
      <c r="M207" s="115"/>
      <c r="N207" s="115"/>
      <c r="O207" s="115"/>
    </row>
    <row r="208" spans="1:15" ht="18" x14ac:dyDescent="0.2">
      <c r="A208" s="238"/>
      <c r="B208" s="221"/>
      <c r="C208" s="14"/>
      <c r="D208" s="9" t="s">
        <v>7</v>
      </c>
      <c r="E208" s="10"/>
      <c r="F208" s="11">
        <v>7</v>
      </c>
      <c r="G208" s="224"/>
      <c r="H208" s="15"/>
      <c r="I208" s="16" t="s">
        <v>10</v>
      </c>
      <c r="J208" s="11">
        <v>7</v>
      </c>
      <c r="K208" s="17"/>
      <c r="L208" s="115"/>
      <c r="M208" s="115"/>
      <c r="N208" s="115"/>
      <c r="O208" s="115"/>
    </row>
    <row r="209" spans="1:15" ht="18" x14ac:dyDescent="0.2">
      <c r="A209" s="238"/>
      <c r="B209" s="221"/>
      <c r="C209" s="14"/>
      <c r="D209" s="9" t="s">
        <v>7</v>
      </c>
      <c r="E209" s="10"/>
      <c r="F209" s="11">
        <v>7</v>
      </c>
      <c r="G209" s="224"/>
      <c r="H209" s="15"/>
      <c r="I209" s="16" t="s">
        <v>10</v>
      </c>
      <c r="J209" s="11">
        <v>7</v>
      </c>
      <c r="K209" s="17"/>
      <c r="L209" s="115"/>
      <c r="M209" s="115"/>
      <c r="N209" s="115"/>
      <c r="O209" s="115"/>
    </row>
    <row r="210" spans="1:15" ht="18.75" thickBot="1" x14ac:dyDescent="0.25">
      <c r="A210" s="238"/>
      <c r="B210" s="222"/>
      <c r="C210" s="18"/>
      <c r="D210" s="19" t="s">
        <v>7</v>
      </c>
      <c r="E210" s="20"/>
      <c r="F210" s="21">
        <v>7</v>
      </c>
      <c r="G210" s="225"/>
      <c r="H210" s="22"/>
      <c r="I210" s="23" t="s">
        <v>10</v>
      </c>
      <c r="J210" s="21">
        <v>7</v>
      </c>
      <c r="K210" s="24"/>
      <c r="L210" s="115"/>
      <c r="M210" s="115"/>
      <c r="N210" s="115"/>
      <c r="O210" s="115"/>
    </row>
    <row r="211" spans="1:15" ht="18" customHeight="1" x14ac:dyDescent="0.2">
      <c r="A211" s="237">
        <v>45522</v>
      </c>
      <c r="B211" s="226" t="s">
        <v>12</v>
      </c>
      <c r="C211" s="25"/>
      <c r="D211" s="25" t="s">
        <v>7</v>
      </c>
      <c r="E211" s="26"/>
      <c r="F211" s="27">
        <v>7</v>
      </c>
      <c r="G211" s="229" t="s">
        <v>12</v>
      </c>
      <c r="H211" s="28"/>
      <c r="I211" s="28" t="s">
        <v>10</v>
      </c>
      <c r="J211" s="27">
        <v>7</v>
      </c>
      <c r="K211" s="29"/>
      <c r="L211" s="115"/>
      <c r="M211" s="115"/>
      <c r="N211" s="115"/>
      <c r="O211" s="115"/>
    </row>
    <row r="212" spans="1:15" ht="18" customHeight="1" x14ac:dyDescent="0.2">
      <c r="A212" s="238"/>
      <c r="B212" s="227"/>
      <c r="C212" s="30"/>
      <c r="D212" s="31" t="s">
        <v>7</v>
      </c>
      <c r="E212" s="32"/>
      <c r="F212" s="33">
        <v>7</v>
      </c>
      <c r="G212" s="230"/>
      <c r="H212" s="34"/>
      <c r="I212" s="35" t="s">
        <v>10</v>
      </c>
      <c r="J212" s="33">
        <v>7</v>
      </c>
      <c r="K212" s="36"/>
      <c r="L212" s="115"/>
      <c r="M212" s="115"/>
      <c r="N212" s="115"/>
      <c r="O212" s="115"/>
    </row>
    <row r="213" spans="1:15" ht="18" customHeight="1" x14ac:dyDescent="0.2">
      <c r="A213" s="238"/>
      <c r="B213" s="227"/>
      <c r="C213" s="30"/>
      <c r="D213" s="31" t="s">
        <v>7</v>
      </c>
      <c r="E213" s="32"/>
      <c r="F213" s="33">
        <v>7</v>
      </c>
      <c r="G213" s="230"/>
      <c r="H213" s="34"/>
      <c r="I213" s="35" t="s">
        <v>10</v>
      </c>
      <c r="J213" s="33">
        <v>7</v>
      </c>
      <c r="K213" s="36"/>
      <c r="L213" s="115"/>
      <c r="M213" s="115"/>
      <c r="N213" s="115"/>
      <c r="O213" s="115"/>
    </row>
    <row r="214" spans="1:15" ht="18.75" customHeight="1" thickBot="1" x14ac:dyDescent="0.25">
      <c r="A214" s="238"/>
      <c r="B214" s="228"/>
      <c r="C214" s="37"/>
      <c r="D214" s="38" t="s">
        <v>7</v>
      </c>
      <c r="E214" s="39"/>
      <c r="F214" s="40">
        <v>7</v>
      </c>
      <c r="G214" s="231"/>
      <c r="H214" s="41"/>
      <c r="I214" s="42" t="s">
        <v>10</v>
      </c>
      <c r="J214" s="40">
        <v>7</v>
      </c>
      <c r="K214" s="43"/>
      <c r="L214" s="115"/>
      <c r="M214" s="115"/>
      <c r="N214" s="115"/>
      <c r="O214" s="115"/>
    </row>
    <row r="215" spans="1:15" ht="18" customHeight="1" x14ac:dyDescent="0.2">
      <c r="A215" s="237">
        <v>45523</v>
      </c>
      <c r="B215" s="232" t="s">
        <v>13</v>
      </c>
      <c r="C215" s="44"/>
      <c r="D215" s="44" t="s">
        <v>7</v>
      </c>
      <c r="E215" s="45"/>
      <c r="F215" s="46">
        <v>7</v>
      </c>
      <c r="G215" s="185" t="s">
        <v>13</v>
      </c>
      <c r="H215" s="47"/>
      <c r="I215" s="47" t="s">
        <v>10</v>
      </c>
      <c r="J215" s="46">
        <v>7</v>
      </c>
      <c r="K215" s="48"/>
      <c r="L215" s="115"/>
      <c r="M215" s="115"/>
      <c r="N215" s="115"/>
      <c r="O215" s="115"/>
    </row>
    <row r="216" spans="1:15" ht="18" customHeight="1" x14ac:dyDescent="0.2">
      <c r="A216" s="238"/>
      <c r="B216" s="233"/>
      <c r="C216" s="49"/>
      <c r="D216" s="44" t="s">
        <v>7</v>
      </c>
      <c r="E216" s="45"/>
      <c r="F216" s="46">
        <v>7</v>
      </c>
      <c r="G216" s="235"/>
      <c r="H216" s="50"/>
      <c r="I216" s="51" t="s">
        <v>10</v>
      </c>
      <c r="J216" s="46">
        <v>7</v>
      </c>
      <c r="K216" s="52"/>
      <c r="L216" s="115"/>
      <c r="M216" s="115"/>
      <c r="N216" s="115"/>
      <c r="O216" s="115"/>
    </row>
    <row r="217" spans="1:15" ht="18" customHeight="1" x14ac:dyDescent="0.2">
      <c r="A217" s="238"/>
      <c r="B217" s="233"/>
      <c r="C217" s="49"/>
      <c r="D217" s="44" t="s">
        <v>7</v>
      </c>
      <c r="E217" s="45"/>
      <c r="F217" s="46">
        <v>7</v>
      </c>
      <c r="G217" s="235"/>
      <c r="H217" s="50"/>
      <c r="I217" s="51" t="s">
        <v>10</v>
      </c>
      <c r="J217" s="46">
        <v>7</v>
      </c>
      <c r="K217" s="52"/>
      <c r="L217" s="115"/>
      <c r="M217" s="115"/>
      <c r="N217" s="115"/>
      <c r="O217" s="115"/>
    </row>
    <row r="218" spans="1:15" ht="18.75" customHeight="1" thickBot="1" x14ac:dyDescent="0.25">
      <c r="A218" s="238"/>
      <c r="B218" s="234"/>
      <c r="C218" s="53"/>
      <c r="D218" s="54" t="s">
        <v>7</v>
      </c>
      <c r="E218" s="55"/>
      <c r="F218" s="56">
        <v>7</v>
      </c>
      <c r="G218" s="236"/>
      <c r="H218" s="57"/>
      <c r="I218" s="58" t="s">
        <v>10</v>
      </c>
      <c r="J218" s="56">
        <v>7</v>
      </c>
      <c r="K218" s="59"/>
      <c r="L218" s="115"/>
      <c r="M218" s="115"/>
      <c r="N218" s="115"/>
      <c r="O218" s="115"/>
    </row>
    <row r="219" spans="1:15" ht="18" customHeight="1" x14ac:dyDescent="0.2">
      <c r="A219" s="237">
        <v>45524</v>
      </c>
      <c r="B219" s="202" t="s">
        <v>14</v>
      </c>
      <c r="C219" s="60"/>
      <c r="D219" s="60" t="s">
        <v>7</v>
      </c>
      <c r="E219" s="61"/>
      <c r="F219" s="62">
        <v>7</v>
      </c>
      <c r="G219" s="205" t="s">
        <v>14</v>
      </c>
      <c r="H219" s="44"/>
      <c r="I219" s="44" t="s">
        <v>10</v>
      </c>
      <c r="J219" s="62">
        <v>7</v>
      </c>
      <c r="K219" s="45"/>
      <c r="L219" s="115"/>
      <c r="M219" s="115"/>
      <c r="N219" s="115"/>
      <c r="O219" s="115"/>
    </row>
    <row r="220" spans="1:15" ht="18" customHeight="1" x14ac:dyDescent="0.2">
      <c r="A220" s="238"/>
      <c r="B220" s="203"/>
      <c r="C220" s="63"/>
      <c r="D220" s="64" t="s">
        <v>7</v>
      </c>
      <c r="E220" s="65"/>
      <c r="F220" s="66">
        <v>7</v>
      </c>
      <c r="G220" s="206"/>
      <c r="H220" s="49"/>
      <c r="I220" s="44" t="s">
        <v>10</v>
      </c>
      <c r="J220" s="66">
        <v>7</v>
      </c>
      <c r="K220" s="67"/>
      <c r="L220" s="115"/>
      <c r="M220" s="115"/>
      <c r="N220" s="115"/>
      <c r="O220" s="115"/>
    </row>
    <row r="221" spans="1:15" ht="18" customHeight="1" x14ac:dyDescent="0.2">
      <c r="A221" s="238"/>
      <c r="B221" s="203"/>
      <c r="C221" s="63"/>
      <c r="D221" s="64" t="s">
        <v>7</v>
      </c>
      <c r="E221" s="65"/>
      <c r="F221" s="66">
        <v>7</v>
      </c>
      <c r="G221" s="206"/>
      <c r="H221" s="49"/>
      <c r="I221" s="44" t="s">
        <v>10</v>
      </c>
      <c r="J221" s="66">
        <v>7</v>
      </c>
      <c r="K221" s="67"/>
      <c r="L221" s="115"/>
      <c r="M221" s="115"/>
      <c r="N221" s="115"/>
      <c r="O221" s="115"/>
    </row>
    <row r="222" spans="1:15" ht="18.75" customHeight="1" thickBot="1" x14ac:dyDescent="0.25">
      <c r="A222" s="238"/>
      <c r="B222" s="204"/>
      <c r="C222" s="68"/>
      <c r="D222" s="69" t="s">
        <v>7</v>
      </c>
      <c r="E222" s="70"/>
      <c r="F222" s="71">
        <v>7</v>
      </c>
      <c r="G222" s="207"/>
      <c r="H222" s="53"/>
      <c r="I222" s="54" t="s">
        <v>10</v>
      </c>
      <c r="J222" s="71">
        <v>7</v>
      </c>
      <c r="K222" s="72"/>
      <c r="L222" s="115"/>
      <c r="M222" s="115"/>
      <c r="N222" s="115"/>
      <c r="O222" s="115"/>
    </row>
    <row r="223" spans="1:15" ht="18" customHeight="1" x14ac:dyDescent="0.2">
      <c r="A223" s="237">
        <v>45525</v>
      </c>
      <c r="B223" s="208" t="s">
        <v>15</v>
      </c>
      <c r="C223" s="16"/>
      <c r="D223" s="16" t="s">
        <v>7</v>
      </c>
      <c r="E223" s="73"/>
      <c r="F223" s="74">
        <v>7</v>
      </c>
      <c r="G223" s="211" t="s">
        <v>15</v>
      </c>
      <c r="H223" s="75"/>
      <c r="I223" s="75" t="s">
        <v>10</v>
      </c>
      <c r="J223" s="74">
        <v>7</v>
      </c>
      <c r="K223" s="76"/>
      <c r="L223" s="115"/>
      <c r="M223" s="115"/>
      <c r="N223" s="115"/>
      <c r="O223" s="115"/>
    </row>
    <row r="224" spans="1:15" ht="18" customHeight="1" x14ac:dyDescent="0.2">
      <c r="A224" s="238"/>
      <c r="B224" s="209"/>
      <c r="C224" s="15"/>
      <c r="D224" s="16" t="s">
        <v>7</v>
      </c>
      <c r="E224" s="73"/>
      <c r="F224" s="74">
        <v>7</v>
      </c>
      <c r="G224" s="212"/>
      <c r="H224" s="77"/>
      <c r="I224" s="78" t="s">
        <v>10</v>
      </c>
      <c r="J224" s="74">
        <v>7</v>
      </c>
      <c r="K224" s="79"/>
      <c r="L224" s="115"/>
      <c r="M224" s="115"/>
      <c r="N224" s="115"/>
      <c r="O224" s="115"/>
    </row>
    <row r="225" spans="1:15" ht="18" customHeight="1" x14ac:dyDescent="0.2">
      <c r="A225" s="238"/>
      <c r="B225" s="209"/>
      <c r="C225" s="15"/>
      <c r="D225" s="16" t="s">
        <v>7</v>
      </c>
      <c r="E225" s="73"/>
      <c r="F225" s="74">
        <v>7</v>
      </c>
      <c r="G225" s="212"/>
      <c r="H225" s="77"/>
      <c r="I225" s="78" t="s">
        <v>10</v>
      </c>
      <c r="J225" s="74">
        <v>7</v>
      </c>
      <c r="K225" s="79"/>
      <c r="L225" s="115"/>
      <c r="M225" s="115"/>
      <c r="N225" s="115"/>
      <c r="O225" s="115"/>
    </row>
    <row r="226" spans="1:15" ht="18.75" customHeight="1" thickBot="1" x14ac:dyDescent="0.25">
      <c r="A226" s="238"/>
      <c r="B226" s="210"/>
      <c r="C226" s="80"/>
      <c r="D226" s="81" t="s">
        <v>7</v>
      </c>
      <c r="E226" s="82"/>
      <c r="F226" s="83">
        <v>7</v>
      </c>
      <c r="G226" s="213"/>
      <c r="H226" s="84"/>
      <c r="I226" s="85" t="s">
        <v>10</v>
      </c>
      <c r="J226" s="83">
        <v>7</v>
      </c>
      <c r="K226" s="86"/>
      <c r="L226" s="115"/>
      <c r="M226" s="115"/>
      <c r="N226" s="115"/>
      <c r="O226" s="115"/>
    </row>
    <row r="227" spans="1:15" ht="18" customHeight="1" x14ac:dyDescent="0.2">
      <c r="A227" s="237">
        <v>45526</v>
      </c>
      <c r="B227" s="214" t="s">
        <v>16</v>
      </c>
      <c r="C227" s="87"/>
      <c r="D227" s="87" t="s">
        <v>7</v>
      </c>
      <c r="E227" s="88"/>
      <c r="F227" s="89">
        <v>7</v>
      </c>
      <c r="G227" s="217" t="s">
        <v>16</v>
      </c>
      <c r="H227" s="90"/>
      <c r="I227" s="90" t="s">
        <v>10</v>
      </c>
      <c r="J227" s="89">
        <v>0</v>
      </c>
      <c r="K227" s="91"/>
      <c r="L227" s="115"/>
      <c r="M227" s="115"/>
      <c r="N227" s="115"/>
      <c r="O227" s="115"/>
    </row>
    <row r="228" spans="1:15" ht="18" customHeight="1" x14ac:dyDescent="0.2">
      <c r="A228" s="238"/>
      <c r="B228" s="215"/>
      <c r="C228" s="92"/>
      <c r="D228" s="93" t="s">
        <v>7</v>
      </c>
      <c r="E228" s="94"/>
      <c r="F228" s="95">
        <v>7</v>
      </c>
      <c r="G228" s="218"/>
      <c r="H228" s="96"/>
      <c r="I228" s="97" t="s">
        <v>10</v>
      </c>
      <c r="J228" s="95">
        <v>7</v>
      </c>
      <c r="K228" s="98"/>
      <c r="L228" s="115"/>
      <c r="M228" s="115"/>
      <c r="N228" s="115"/>
      <c r="O228" s="115"/>
    </row>
    <row r="229" spans="1:15" ht="18" customHeight="1" x14ac:dyDescent="0.2">
      <c r="A229" s="238"/>
      <c r="B229" s="215"/>
      <c r="C229" s="92"/>
      <c r="D229" s="93" t="s">
        <v>7</v>
      </c>
      <c r="E229" s="94"/>
      <c r="F229" s="95">
        <v>7</v>
      </c>
      <c r="G229" s="218"/>
      <c r="H229" s="96"/>
      <c r="I229" s="97" t="s">
        <v>10</v>
      </c>
      <c r="J229" s="95">
        <v>7</v>
      </c>
      <c r="K229" s="98"/>
      <c r="L229" s="115"/>
      <c r="M229" s="115"/>
      <c r="N229" s="115"/>
      <c r="O229" s="115"/>
    </row>
    <row r="230" spans="1:15" ht="18.75" customHeight="1" thickBot="1" x14ac:dyDescent="0.25">
      <c r="A230" s="238"/>
      <c r="B230" s="216"/>
      <c r="C230" s="99"/>
      <c r="D230" s="100" t="s">
        <v>7</v>
      </c>
      <c r="E230" s="101"/>
      <c r="F230" s="102">
        <v>7</v>
      </c>
      <c r="G230" s="219"/>
      <c r="H230" s="103"/>
      <c r="I230" s="104" t="s">
        <v>10</v>
      </c>
      <c r="J230" s="102">
        <v>7</v>
      </c>
      <c r="K230" s="105"/>
      <c r="L230" s="115"/>
      <c r="M230" s="115"/>
      <c r="N230" s="115"/>
      <c r="O230" s="115"/>
    </row>
    <row r="231" spans="1:15" ht="23.25" x14ac:dyDescent="0.35">
      <c r="A231" s="118"/>
      <c r="B231" s="106"/>
      <c r="C231" s="107"/>
      <c r="D231" s="194" t="s">
        <v>20</v>
      </c>
      <c r="E231" s="195"/>
      <c r="F231" s="108">
        <f>SUM(F207:F230)</f>
        <v>168</v>
      </c>
      <c r="G231" s="107"/>
      <c r="H231" s="185" t="s">
        <v>20</v>
      </c>
      <c r="I231" s="186"/>
      <c r="J231" s="108">
        <f>SUM(J207:J230)</f>
        <v>161</v>
      </c>
      <c r="K231" s="109"/>
      <c r="L231" s="115"/>
      <c r="M231" s="115"/>
      <c r="N231" s="115"/>
      <c r="O231" s="115"/>
    </row>
    <row r="232" spans="1:15" ht="24" thickBot="1" x14ac:dyDescent="0.4">
      <c r="A232" s="119"/>
      <c r="B232" s="110"/>
      <c r="C232" s="111"/>
      <c r="D232" s="187" t="s">
        <v>21</v>
      </c>
      <c r="E232" s="188"/>
      <c r="F232" s="112">
        <f>F231/240*1</f>
        <v>0.7</v>
      </c>
      <c r="G232" s="111"/>
      <c r="H232" s="189" t="s">
        <v>22</v>
      </c>
      <c r="I232" s="190"/>
      <c r="J232" s="113">
        <f>J231/240*1</f>
        <v>0.67083333333333328</v>
      </c>
      <c r="K232" s="114"/>
      <c r="L232" s="115"/>
      <c r="M232" s="115"/>
      <c r="N232" s="115"/>
      <c r="O232" s="115"/>
    </row>
    <row r="233" spans="1:15" ht="24" thickBot="1" x14ac:dyDescent="0.4">
      <c r="A233" s="120">
        <v>9</v>
      </c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</row>
    <row r="234" spans="1:15" ht="21" thickBot="1" x14ac:dyDescent="0.35">
      <c r="A234" s="244" t="s">
        <v>25</v>
      </c>
      <c r="B234" s="191" t="s">
        <v>0</v>
      </c>
      <c r="C234" s="192"/>
      <c r="D234" s="192"/>
      <c r="E234" s="192"/>
      <c r="F234" s="192"/>
      <c r="G234" s="192"/>
      <c r="H234" s="192"/>
      <c r="I234" s="192"/>
      <c r="J234" s="192"/>
      <c r="K234" s="193"/>
      <c r="L234" s="115"/>
      <c r="M234" s="115"/>
      <c r="N234" s="115"/>
      <c r="O234" s="115"/>
    </row>
    <row r="235" spans="1:15" ht="21" thickBot="1" x14ac:dyDescent="0.35">
      <c r="A235" s="245"/>
      <c r="B235" s="196" t="s">
        <v>17</v>
      </c>
      <c r="C235" s="197"/>
      <c r="D235" s="197"/>
      <c r="E235" s="197"/>
      <c r="F235" s="198"/>
      <c r="G235" s="199" t="s">
        <v>1</v>
      </c>
      <c r="H235" s="200"/>
      <c r="I235" s="200"/>
      <c r="J235" s="200"/>
      <c r="K235" s="201"/>
      <c r="L235" s="115"/>
      <c r="M235" s="115"/>
      <c r="N235" s="115"/>
      <c r="O235" s="115"/>
    </row>
    <row r="236" spans="1:15" ht="41.25" thickBot="1" x14ac:dyDescent="0.25">
      <c r="A236" s="246"/>
      <c r="B236" s="2" t="s">
        <v>2</v>
      </c>
      <c r="C236" s="3" t="s">
        <v>6</v>
      </c>
      <c r="D236" s="3" t="s">
        <v>7</v>
      </c>
      <c r="E236" s="3" t="s">
        <v>8</v>
      </c>
      <c r="F236" s="4" t="s">
        <v>19</v>
      </c>
      <c r="G236" s="5" t="s">
        <v>2</v>
      </c>
      <c r="H236" s="6" t="s">
        <v>3</v>
      </c>
      <c r="I236" s="6" t="s">
        <v>4</v>
      </c>
      <c r="J236" s="7" t="s">
        <v>18</v>
      </c>
      <c r="K236" s="8" t="s">
        <v>5</v>
      </c>
      <c r="L236" s="115"/>
      <c r="M236" s="115"/>
      <c r="N236" s="115"/>
      <c r="O236" s="115"/>
    </row>
    <row r="237" spans="1:15" ht="18" x14ac:dyDescent="0.2">
      <c r="A237" s="237">
        <v>45528</v>
      </c>
      <c r="B237" s="220" t="s">
        <v>9</v>
      </c>
      <c r="C237" s="9"/>
      <c r="D237" s="9" t="s">
        <v>7</v>
      </c>
      <c r="E237" s="10"/>
      <c r="F237" s="11">
        <v>7</v>
      </c>
      <c r="G237" s="223" t="s">
        <v>9</v>
      </c>
      <c r="H237" s="12"/>
      <c r="I237" s="12" t="s">
        <v>10</v>
      </c>
      <c r="J237" s="11">
        <v>7</v>
      </c>
      <c r="K237" s="13"/>
      <c r="L237" s="115"/>
      <c r="M237" s="115"/>
      <c r="N237" s="115"/>
      <c r="O237" s="115"/>
    </row>
    <row r="238" spans="1:15" ht="18" x14ac:dyDescent="0.2">
      <c r="A238" s="238"/>
      <c r="B238" s="221"/>
      <c r="C238" s="14"/>
      <c r="D238" s="9" t="s">
        <v>7</v>
      </c>
      <c r="E238" s="10"/>
      <c r="F238" s="11">
        <v>7</v>
      </c>
      <c r="G238" s="224"/>
      <c r="H238" s="15"/>
      <c r="I238" s="16" t="s">
        <v>10</v>
      </c>
      <c r="J238" s="11">
        <v>7</v>
      </c>
      <c r="K238" s="17"/>
      <c r="L238" s="115"/>
      <c r="M238" s="115"/>
      <c r="N238" s="115"/>
      <c r="O238" s="115"/>
    </row>
    <row r="239" spans="1:15" ht="18" x14ac:dyDescent="0.2">
      <c r="A239" s="238"/>
      <c r="B239" s="221"/>
      <c r="C239" s="14"/>
      <c r="D239" s="9" t="s">
        <v>7</v>
      </c>
      <c r="E239" s="10"/>
      <c r="F239" s="11">
        <v>7</v>
      </c>
      <c r="G239" s="224"/>
      <c r="H239" s="15"/>
      <c r="I239" s="16" t="s">
        <v>10</v>
      </c>
      <c r="J239" s="11">
        <v>7</v>
      </c>
      <c r="K239" s="17"/>
      <c r="L239" s="115"/>
      <c r="M239" s="115"/>
      <c r="N239" s="115"/>
      <c r="O239" s="115"/>
    </row>
    <row r="240" spans="1:15" ht="18.75" thickBot="1" x14ac:dyDescent="0.25">
      <c r="A240" s="238"/>
      <c r="B240" s="222"/>
      <c r="C240" s="18"/>
      <c r="D240" s="19" t="s">
        <v>7</v>
      </c>
      <c r="E240" s="20"/>
      <c r="F240" s="21">
        <v>7</v>
      </c>
      <c r="G240" s="225"/>
      <c r="H240" s="22"/>
      <c r="I240" s="23" t="s">
        <v>10</v>
      </c>
      <c r="J240" s="21">
        <v>7</v>
      </c>
      <c r="K240" s="24"/>
      <c r="L240" s="115"/>
      <c r="M240" s="115"/>
      <c r="N240" s="115"/>
      <c r="O240" s="115"/>
    </row>
    <row r="241" spans="1:15" ht="18" customHeight="1" x14ac:dyDescent="0.2">
      <c r="A241" s="237">
        <v>45529</v>
      </c>
      <c r="B241" s="226" t="s">
        <v>12</v>
      </c>
      <c r="C241" s="25"/>
      <c r="D241" s="25" t="s">
        <v>7</v>
      </c>
      <c r="E241" s="26"/>
      <c r="F241" s="27">
        <v>7</v>
      </c>
      <c r="G241" s="229" t="s">
        <v>12</v>
      </c>
      <c r="H241" s="28"/>
      <c r="I241" s="28" t="s">
        <v>10</v>
      </c>
      <c r="J241" s="27">
        <v>7</v>
      </c>
      <c r="K241" s="29"/>
      <c r="L241" s="115"/>
      <c r="M241" s="115"/>
      <c r="N241" s="115"/>
      <c r="O241" s="115"/>
    </row>
    <row r="242" spans="1:15" ht="18" customHeight="1" x14ac:dyDescent="0.2">
      <c r="A242" s="238"/>
      <c r="B242" s="227"/>
      <c r="C242" s="30"/>
      <c r="D242" s="31" t="s">
        <v>7</v>
      </c>
      <c r="E242" s="32"/>
      <c r="F242" s="33">
        <v>7</v>
      </c>
      <c r="G242" s="230"/>
      <c r="H242" s="34"/>
      <c r="I242" s="35" t="s">
        <v>10</v>
      </c>
      <c r="J242" s="33">
        <v>7</v>
      </c>
      <c r="K242" s="36"/>
      <c r="L242" s="115"/>
      <c r="M242" s="115"/>
      <c r="N242" s="115"/>
      <c r="O242" s="115"/>
    </row>
    <row r="243" spans="1:15" ht="18" customHeight="1" x14ac:dyDescent="0.2">
      <c r="A243" s="238"/>
      <c r="B243" s="227"/>
      <c r="C243" s="30"/>
      <c r="D243" s="31" t="s">
        <v>7</v>
      </c>
      <c r="E243" s="32"/>
      <c r="F243" s="33">
        <v>7</v>
      </c>
      <c r="G243" s="230"/>
      <c r="H243" s="34"/>
      <c r="I243" s="35" t="s">
        <v>10</v>
      </c>
      <c r="J243" s="33">
        <v>7</v>
      </c>
      <c r="K243" s="36"/>
      <c r="L243" s="115"/>
      <c r="M243" s="115"/>
      <c r="N243" s="115"/>
      <c r="O243" s="115"/>
    </row>
    <row r="244" spans="1:15" ht="18.75" customHeight="1" thickBot="1" x14ac:dyDescent="0.25">
      <c r="A244" s="238"/>
      <c r="B244" s="228"/>
      <c r="C244" s="37"/>
      <c r="D244" s="38" t="s">
        <v>7</v>
      </c>
      <c r="E244" s="39"/>
      <c r="F244" s="40">
        <v>7</v>
      </c>
      <c r="G244" s="231"/>
      <c r="H244" s="41"/>
      <c r="I244" s="42" t="s">
        <v>10</v>
      </c>
      <c r="J244" s="40">
        <v>7</v>
      </c>
      <c r="K244" s="43"/>
      <c r="L244" s="115"/>
      <c r="M244" s="115"/>
      <c r="N244" s="115"/>
      <c r="O244" s="115"/>
    </row>
    <row r="245" spans="1:15" ht="18" customHeight="1" x14ac:dyDescent="0.2">
      <c r="A245" s="237">
        <v>45530</v>
      </c>
      <c r="B245" s="232" t="s">
        <v>13</v>
      </c>
      <c r="C245" s="44"/>
      <c r="D245" s="44" t="s">
        <v>7</v>
      </c>
      <c r="E245" s="45"/>
      <c r="F245" s="46">
        <v>7</v>
      </c>
      <c r="G245" s="185" t="s">
        <v>13</v>
      </c>
      <c r="H245" s="47"/>
      <c r="I245" s="47" t="s">
        <v>10</v>
      </c>
      <c r="J245" s="46">
        <v>7</v>
      </c>
      <c r="K245" s="48"/>
      <c r="L245" s="115"/>
      <c r="M245" s="115"/>
      <c r="N245" s="115"/>
      <c r="O245" s="115"/>
    </row>
    <row r="246" spans="1:15" ht="18" customHeight="1" x14ac:dyDescent="0.2">
      <c r="A246" s="238"/>
      <c r="B246" s="233"/>
      <c r="C246" s="49"/>
      <c r="D246" s="44" t="s">
        <v>7</v>
      </c>
      <c r="E246" s="45"/>
      <c r="F246" s="46">
        <v>7</v>
      </c>
      <c r="G246" s="235"/>
      <c r="H246" s="50"/>
      <c r="I246" s="51" t="s">
        <v>10</v>
      </c>
      <c r="J246" s="46">
        <v>7</v>
      </c>
      <c r="K246" s="52"/>
      <c r="L246" s="115"/>
      <c r="M246" s="115"/>
      <c r="N246" s="115"/>
      <c r="O246" s="115"/>
    </row>
    <row r="247" spans="1:15" ht="18" customHeight="1" x14ac:dyDescent="0.2">
      <c r="A247" s="238"/>
      <c r="B247" s="233"/>
      <c r="C247" s="49"/>
      <c r="D247" s="44" t="s">
        <v>7</v>
      </c>
      <c r="E247" s="45"/>
      <c r="F247" s="46">
        <v>7</v>
      </c>
      <c r="G247" s="235"/>
      <c r="H247" s="50"/>
      <c r="I247" s="51" t="s">
        <v>10</v>
      </c>
      <c r="J247" s="46">
        <v>7</v>
      </c>
      <c r="K247" s="52"/>
      <c r="L247" s="115"/>
      <c r="M247" s="115"/>
      <c r="N247" s="115"/>
      <c r="O247" s="115"/>
    </row>
    <row r="248" spans="1:15" ht="18.75" customHeight="1" thickBot="1" x14ac:dyDescent="0.25">
      <c r="A248" s="238"/>
      <c r="B248" s="234"/>
      <c r="C248" s="53"/>
      <c r="D248" s="54" t="s">
        <v>7</v>
      </c>
      <c r="E248" s="55"/>
      <c r="F248" s="56">
        <v>7</v>
      </c>
      <c r="G248" s="236"/>
      <c r="H248" s="57"/>
      <c r="I248" s="58" t="s">
        <v>10</v>
      </c>
      <c r="J248" s="56">
        <v>7</v>
      </c>
      <c r="K248" s="59"/>
      <c r="L248" s="115"/>
      <c r="M248" s="115"/>
      <c r="N248" s="115"/>
      <c r="O248" s="115"/>
    </row>
    <row r="249" spans="1:15" ht="18" customHeight="1" x14ac:dyDescent="0.2">
      <c r="A249" s="237">
        <v>45531</v>
      </c>
      <c r="B249" s="202" t="s">
        <v>14</v>
      </c>
      <c r="C249" s="60"/>
      <c r="D249" s="60" t="s">
        <v>7</v>
      </c>
      <c r="E249" s="61"/>
      <c r="F249" s="62">
        <v>7</v>
      </c>
      <c r="G249" s="205" t="s">
        <v>14</v>
      </c>
      <c r="H249" s="44"/>
      <c r="I249" s="44" t="s">
        <v>10</v>
      </c>
      <c r="J249" s="62">
        <v>7</v>
      </c>
      <c r="K249" s="45"/>
      <c r="L249" s="115"/>
      <c r="M249" s="115"/>
      <c r="N249" s="115"/>
      <c r="O249" s="115"/>
    </row>
    <row r="250" spans="1:15" ht="18" customHeight="1" x14ac:dyDescent="0.2">
      <c r="A250" s="238"/>
      <c r="B250" s="203"/>
      <c r="C250" s="63"/>
      <c r="D250" s="64" t="s">
        <v>7</v>
      </c>
      <c r="E250" s="65"/>
      <c r="F250" s="66">
        <v>7</v>
      </c>
      <c r="G250" s="206"/>
      <c r="H250" s="49"/>
      <c r="I250" s="44" t="s">
        <v>10</v>
      </c>
      <c r="J250" s="66">
        <v>7</v>
      </c>
      <c r="K250" s="67"/>
      <c r="L250" s="115"/>
      <c r="M250" s="115"/>
      <c r="N250" s="115"/>
      <c r="O250" s="115"/>
    </row>
    <row r="251" spans="1:15" ht="18" customHeight="1" x14ac:dyDescent="0.2">
      <c r="A251" s="238"/>
      <c r="B251" s="203"/>
      <c r="C251" s="63"/>
      <c r="D251" s="64" t="s">
        <v>7</v>
      </c>
      <c r="E251" s="65"/>
      <c r="F251" s="66">
        <v>7</v>
      </c>
      <c r="G251" s="206"/>
      <c r="H251" s="49"/>
      <c r="I251" s="44" t="s">
        <v>10</v>
      </c>
      <c r="J251" s="66">
        <v>7</v>
      </c>
      <c r="K251" s="67"/>
      <c r="L251" s="115"/>
      <c r="M251" s="115"/>
      <c r="N251" s="115"/>
      <c r="O251" s="115"/>
    </row>
    <row r="252" spans="1:15" ht="18.75" customHeight="1" thickBot="1" x14ac:dyDescent="0.25">
      <c r="A252" s="238"/>
      <c r="B252" s="204"/>
      <c r="C252" s="68"/>
      <c r="D252" s="69" t="s">
        <v>7</v>
      </c>
      <c r="E252" s="70"/>
      <c r="F252" s="71">
        <v>7</v>
      </c>
      <c r="G252" s="207"/>
      <c r="H252" s="53"/>
      <c r="I252" s="54" t="s">
        <v>10</v>
      </c>
      <c r="J252" s="71">
        <v>7</v>
      </c>
      <c r="K252" s="72"/>
      <c r="L252" s="115"/>
      <c r="M252" s="115"/>
      <c r="N252" s="115"/>
      <c r="O252" s="115"/>
    </row>
    <row r="253" spans="1:15" ht="18" customHeight="1" x14ac:dyDescent="0.2">
      <c r="A253" s="237">
        <v>45532</v>
      </c>
      <c r="B253" s="208" t="s">
        <v>15</v>
      </c>
      <c r="C253" s="16"/>
      <c r="D253" s="16" t="s">
        <v>7</v>
      </c>
      <c r="E253" s="73"/>
      <c r="F253" s="74">
        <v>7</v>
      </c>
      <c r="G253" s="211" t="s">
        <v>15</v>
      </c>
      <c r="H253" s="75"/>
      <c r="I253" s="75" t="s">
        <v>10</v>
      </c>
      <c r="J253" s="74">
        <v>7</v>
      </c>
      <c r="K253" s="76"/>
      <c r="L253" s="115"/>
      <c r="M253" s="115"/>
      <c r="N253" s="115"/>
      <c r="O253" s="115"/>
    </row>
    <row r="254" spans="1:15" ht="18" customHeight="1" x14ac:dyDescent="0.2">
      <c r="A254" s="238"/>
      <c r="B254" s="209"/>
      <c r="C254" s="15"/>
      <c r="D254" s="16" t="s">
        <v>7</v>
      </c>
      <c r="E254" s="73"/>
      <c r="F254" s="74">
        <v>7</v>
      </c>
      <c r="G254" s="212"/>
      <c r="H254" s="77"/>
      <c r="I254" s="78" t="s">
        <v>10</v>
      </c>
      <c r="J254" s="74">
        <v>7</v>
      </c>
      <c r="K254" s="79"/>
      <c r="L254" s="115"/>
      <c r="M254" s="115"/>
      <c r="N254" s="115"/>
      <c r="O254" s="115"/>
    </row>
    <row r="255" spans="1:15" ht="18" customHeight="1" x14ac:dyDescent="0.2">
      <c r="A255" s="238"/>
      <c r="B255" s="209"/>
      <c r="C255" s="15"/>
      <c r="D255" s="16" t="s">
        <v>7</v>
      </c>
      <c r="E255" s="73"/>
      <c r="F255" s="74">
        <v>7</v>
      </c>
      <c r="G255" s="212"/>
      <c r="H255" s="77"/>
      <c r="I255" s="78" t="s">
        <v>10</v>
      </c>
      <c r="J255" s="74">
        <v>7</v>
      </c>
      <c r="K255" s="79"/>
      <c r="L255" s="115"/>
      <c r="M255" s="115"/>
      <c r="N255" s="115"/>
      <c r="O255" s="115"/>
    </row>
    <row r="256" spans="1:15" ht="18.75" customHeight="1" thickBot="1" x14ac:dyDescent="0.25">
      <c r="A256" s="238"/>
      <c r="B256" s="210"/>
      <c r="C256" s="80"/>
      <c r="D256" s="81" t="s">
        <v>7</v>
      </c>
      <c r="E256" s="82"/>
      <c r="F256" s="83">
        <v>7</v>
      </c>
      <c r="G256" s="213"/>
      <c r="H256" s="84"/>
      <c r="I256" s="85" t="s">
        <v>10</v>
      </c>
      <c r="J256" s="83">
        <v>7</v>
      </c>
      <c r="K256" s="86"/>
      <c r="L256" s="115"/>
      <c r="M256" s="115"/>
      <c r="N256" s="115"/>
      <c r="O256" s="115"/>
    </row>
    <row r="257" spans="1:15" ht="18" customHeight="1" x14ac:dyDescent="0.2">
      <c r="A257" s="237">
        <v>45533</v>
      </c>
      <c r="B257" s="214" t="s">
        <v>16</v>
      </c>
      <c r="C257" s="87"/>
      <c r="D257" s="87" t="s">
        <v>7</v>
      </c>
      <c r="E257" s="88"/>
      <c r="F257" s="89">
        <v>7</v>
      </c>
      <c r="G257" s="217" t="s">
        <v>16</v>
      </c>
      <c r="H257" s="90"/>
      <c r="I257" s="90" t="s">
        <v>10</v>
      </c>
      <c r="J257" s="89">
        <v>0</v>
      </c>
      <c r="K257" s="91"/>
      <c r="L257" s="115"/>
      <c r="M257" s="115"/>
      <c r="N257" s="115"/>
      <c r="O257" s="115"/>
    </row>
    <row r="258" spans="1:15" ht="18" customHeight="1" x14ac:dyDescent="0.2">
      <c r="A258" s="238"/>
      <c r="B258" s="215"/>
      <c r="C258" s="92"/>
      <c r="D258" s="93" t="s">
        <v>7</v>
      </c>
      <c r="E258" s="94"/>
      <c r="F258" s="95">
        <v>7</v>
      </c>
      <c r="G258" s="218"/>
      <c r="H258" s="96"/>
      <c r="I258" s="97" t="s">
        <v>10</v>
      </c>
      <c r="J258" s="95">
        <v>7</v>
      </c>
      <c r="K258" s="98"/>
      <c r="L258" s="115"/>
      <c r="M258" s="115"/>
      <c r="N258" s="115"/>
      <c r="O258" s="115"/>
    </row>
    <row r="259" spans="1:15" ht="18" customHeight="1" x14ac:dyDescent="0.2">
      <c r="A259" s="238"/>
      <c r="B259" s="215"/>
      <c r="C259" s="92"/>
      <c r="D259" s="93" t="s">
        <v>7</v>
      </c>
      <c r="E259" s="94"/>
      <c r="F259" s="95">
        <v>7</v>
      </c>
      <c r="G259" s="218"/>
      <c r="H259" s="96"/>
      <c r="I259" s="97" t="s">
        <v>10</v>
      </c>
      <c r="J259" s="95">
        <v>7</v>
      </c>
      <c r="K259" s="98"/>
      <c r="L259" s="115"/>
      <c r="M259" s="115"/>
      <c r="N259" s="115"/>
      <c r="O259" s="115"/>
    </row>
    <row r="260" spans="1:15" ht="18.75" customHeight="1" thickBot="1" x14ac:dyDescent="0.25">
      <c r="A260" s="238"/>
      <c r="B260" s="216"/>
      <c r="C260" s="99"/>
      <c r="D260" s="100" t="s">
        <v>7</v>
      </c>
      <c r="E260" s="101"/>
      <c r="F260" s="102">
        <v>7</v>
      </c>
      <c r="G260" s="219"/>
      <c r="H260" s="103"/>
      <c r="I260" s="104" t="s">
        <v>10</v>
      </c>
      <c r="J260" s="102">
        <v>7</v>
      </c>
      <c r="K260" s="105"/>
      <c r="L260" s="115"/>
      <c r="M260" s="115"/>
      <c r="N260" s="115"/>
      <c r="O260" s="115"/>
    </row>
    <row r="261" spans="1:15" ht="23.25" x14ac:dyDescent="0.35">
      <c r="A261" s="118"/>
      <c r="B261" s="106"/>
      <c r="C261" s="107"/>
      <c r="D261" s="194" t="s">
        <v>20</v>
      </c>
      <c r="E261" s="195"/>
      <c r="F261" s="108">
        <f>SUM(F237:F260)</f>
        <v>168</v>
      </c>
      <c r="G261" s="107"/>
      <c r="H261" s="185" t="s">
        <v>20</v>
      </c>
      <c r="I261" s="186"/>
      <c r="J261" s="108">
        <f>SUM(J237:J260)</f>
        <v>161</v>
      </c>
      <c r="K261" s="109"/>
      <c r="L261" s="115"/>
      <c r="M261" s="115"/>
      <c r="N261" s="115"/>
      <c r="O261" s="115"/>
    </row>
    <row r="262" spans="1:15" ht="24" thickBot="1" x14ac:dyDescent="0.4">
      <c r="A262" s="119"/>
      <c r="B262" s="110"/>
      <c r="C262" s="111"/>
      <c r="D262" s="187" t="s">
        <v>21</v>
      </c>
      <c r="E262" s="188"/>
      <c r="F262" s="112">
        <f>F261/240*1</f>
        <v>0.7</v>
      </c>
      <c r="G262" s="111"/>
      <c r="H262" s="189" t="s">
        <v>22</v>
      </c>
      <c r="I262" s="190"/>
      <c r="J262" s="113">
        <f>J261/240*1</f>
        <v>0.67083333333333328</v>
      </c>
      <c r="K262" s="114"/>
      <c r="L262" s="115"/>
      <c r="M262" s="115"/>
      <c r="N262" s="115"/>
      <c r="O262" s="115"/>
    </row>
    <row r="263" spans="1:15" ht="24" thickBot="1" x14ac:dyDescent="0.4">
      <c r="A263" s="120">
        <v>10</v>
      </c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</row>
    <row r="264" spans="1:15" ht="21" thickBot="1" x14ac:dyDescent="0.35">
      <c r="A264" s="244" t="s">
        <v>25</v>
      </c>
      <c r="B264" s="191" t="s">
        <v>0</v>
      </c>
      <c r="C264" s="192"/>
      <c r="D264" s="192"/>
      <c r="E264" s="192"/>
      <c r="F264" s="192"/>
      <c r="G264" s="192"/>
      <c r="H264" s="192"/>
      <c r="I264" s="192"/>
      <c r="J264" s="192"/>
      <c r="K264" s="193"/>
      <c r="L264" s="115"/>
      <c r="M264" s="115"/>
      <c r="N264" s="115"/>
      <c r="O264" s="115"/>
    </row>
    <row r="265" spans="1:15" ht="21" thickBot="1" x14ac:dyDescent="0.35">
      <c r="A265" s="245"/>
      <c r="B265" s="196" t="s">
        <v>17</v>
      </c>
      <c r="C265" s="197"/>
      <c r="D265" s="197"/>
      <c r="E265" s="197"/>
      <c r="F265" s="198"/>
      <c r="G265" s="199" t="s">
        <v>1</v>
      </c>
      <c r="H265" s="200"/>
      <c r="I265" s="200"/>
      <c r="J265" s="200"/>
      <c r="K265" s="201"/>
      <c r="L265" s="115"/>
      <c r="M265" s="115"/>
      <c r="N265" s="115"/>
      <c r="O265" s="115"/>
    </row>
    <row r="266" spans="1:15" ht="41.25" thickBot="1" x14ac:dyDescent="0.25">
      <c r="A266" s="246"/>
      <c r="B266" s="2" t="s">
        <v>2</v>
      </c>
      <c r="C266" s="3" t="s">
        <v>6</v>
      </c>
      <c r="D266" s="3" t="s">
        <v>7</v>
      </c>
      <c r="E266" s="3" t="s">
        <v>8</v>
      </c>
      <c r="F266" s="4" t="s">
        <v>19</v>
      </c>
      <c r="G266" s="5" t="s">
        <v>2</v>
      </c>
      <c r="H266" s="6" t="s">
        <v>3</v>
      </c>
      <c r="I266" s="6" t="s">
        <v>4</v>
      </c>
      <c r="J266" s="7" t="s">
        <v>18</v>
      </c>
      <c r="K266" s="8" t="s">
        <v>5</v>
      </c>
      <c r="L266" s="115"/>
      <c r="M266" s="115"/>
      <c r="N266" s="115"/>
      <c r="O266" s="115"/>
    </row>
    <row r="267" spans="1:15" ht="18" x14ac:dyDescent="0.2">
      <c r="A267" s="237">
        <v>45535</v>
      </c>
      <c r="B267" s="220" t="s">
        <v>9</v>
      </c>
      <c r="C267" s="9"/>
      <c r="D267" s="9" t="s">
        <v>7</v>
      </c>
      <c r="E267" s="10"/>
      <c r="F267" s="11">
        <v>7</v>
      </c>
      <c r="G267" s="223" t="s">
        <v>9</v>
      </c>
      <c r="H267" s="12"/>
      <c r="I267" s="12" t="s">
        <v>10</v>
      </c>
      <c r="J267" s="11">
        <v>7</v>
      </c>
      <c r="K267" s="13"/>
      <c r="L267" s="115"/>
      <c r="M267" s="115"/>
      <c r="N267" s="115"/>
      <c r="O267" s="115"/>
    </row>
    <row r="268" spans="1:15" ht="18" x14ac:dyDescent="0.2">
      <c r="A268" s="238"/>
      <c r="B268" s="221"/>
      <c r="C268" s="14"/>
      <c r="D268" s="9" t="s">
        <v>7</v>
      </c>
      <c r="E268" s="10"/>
      <c r="F268" s="11">
        <v>7</v>
      </c>
      <c r="G268" s="224"/>
      <c r="H268" s="15"/>
      <c r="I268" s="16" t="s">
        <v>10</v>
      </c>
      <c r="J268" s="11">
        <v>7</v>
      </c>
      <c r="K268" s="17"/>
      <c r="L268" s="115"/>
      <c r="M268" s="115"/>
      <c r="N268" s="115"/>
      <c r="O268" s="115"/>
    </row>
    <row r="269" spans="1:15" ht="18" x14ac:dyDescent="0.2">
      <c r="A269" s="238"/>
      <c r="B269" s="221"/>
      <c r="C269" s="14"/>
      <c r="D269" s="9" t="s">
        <v>7</v>
      </c>
      <c r="E269" s="10"/>
      <c r="F269" s="11">
        <v>7</v>
      </c>
      <c r="G269" s="224"/>
      <c r="H269" s="15"/>
      <c r="I269" s="16" t="s">
        <v>10</v>
      </c>
      <c r="J269" s="11">
        <v>7</v>
      </c>
      <c r="K269" s="17"/>
      <c r="L269" s="115"/>
      <c r="M269" s="115"/>
      <c r="N269" s="115"/>
      <c r="O269" s="115"/>
    </row>
    <row r="270" spans="1:15" ht="18.75" thickBot="1" x14ac:dyDescent="0.25">
      <c r="A270" s="238"/>
      <c r="B270" s="222"/>
      <c r="C270" s="18"/>
      <c r="D270" s="19" t="s">
        <v>7</v>
      </c>
      <c r="E270" s="20"/>
      <c r="F270" s="21">
        <v>7</v>
      </c>
      <c r="G270" s="225"/>
      <c r="H270" s="22"/>
      <c r="I270" s="23" t="s">
        <v>10</v>
      </c>
      <c r="J270" s="21">
        <v>7</v>
      </c>
      <c r="K270" s="24"/>
      <c r="L270" s="115"/>
      <c r="M270" s="115"/>
      <c r="N270" s="115"/>
      <c r="O270" s="115"/>
    </row>
    <row r="271" spans="1:15" ht="18" customHeight="1" x14ac:dyDescent="0.2">
      <c r="A271" s="237">
        <v>45536</v>
      </c>
      <c r="B271" s="226" t="s">
        <v>12</v>
      </c>
      <c r="C271" s="25"/>
      <c r="D271" s="25" t="s">
        <v>7</v>
      </c>
      <c r="E271" s="26"/>
      <c r="F271" s="27">
        <v>7</v>
      </c>
      <c r="G271" s="229" t="s">
        <v>12</v>
      </c>
      <c r="H271" s="28"/>
      <c r="I271" s="28" t="s">
        <v>10</v>
      </c>
      <c r="J271" s="27">
        <v>7</v>
      </c>
      <c r="K271" s="29"/>
      <c r="L271" s="115"/>
      <c r="M271" s="115"/>
      <c r="N271" s="115"/>
      <c r="O271" s="115"/>
    </row>
    <row r="272" spans="1:15" ht="18" customHeight="1" x14ac:dyDescent="0.2">
      <c r="A272" s="238"/>
      <c r="B272" s="227"/>
      <c r="C272" s="30"/>
      <c r="D272" s="31" t="s">
        <v>7</v>
      </c>
      <c r="E272" s="32"/>
      <c r="F272" s="33">
        <v>7</v>
      </c>
      <c r="G272" s="230"/>
      <c r="H272" s="34"/>
      <c r="I272" s="35" t="s">
        <v>10</v>
      </c>
      <c r="J272" s="33">
        <v>7</v>
      </c>
      <c r="K272" s="36"/>
      <c r="L272" s="115"/>
      <c r="M272" s="115"/>
      <c r="N272" s="115"/>
      <c r="O272" s="115"/>
    </row>
    <row r="273" spans="1:15" ht="18" customHeight="1" x14ac:dyDescent="0.2">
      <c r="A273" s="238"/>
      <c r="B273" s="227"/>
      <c r="C273" s="30"/>
      <c r="D273" s="31" t="s">
        <v>7</v>
      </c>
      <c r="E273" s="32"/>
      <c r="F273" s="33">
        <v>7</v>
      </c>
      <c r="G273" s="230"/>
      <c r="H273" s="34"/>
      <c r="I273" s="35" t="s">
        <v>10</v>
      </c>
      <c r="J273" s="33">
        <v>7</v>
      </c>
      <c r="K273" s="36"/>
      <c r="L273" s="115"/>
      <c r="M273" s="115"/>
      <c r="N273" s="115"/>
      <c r="O273" s="115"/>
    </row>
    <row r="274" spans="1:15" ht="18.75" customHeight="1" thickBot="1" x14ac:dyDescent="0.25">
      <c r="A274" s="238"/>
      <c r="B274" s="228"/>
      <c r="C274" s="37"/>
      <c r="D274" s="38" t="s">
        <v>7</v>
      </c>
      <c r="E274" s="39"/>
      <c r="F274" s="40">
        <v>7</v>
      </c>
      <c r="G274" s="231"/>
      <c r="H274" s="41"/>
      <c r="I274" s="42" t="s">
        <v>10</v>
      </c>
      <c r="J274" s="40">
        <v>7</v>
      </c>
      <c r="K274" s="43"/>
      <c r="L274" s="115"/>
      <c r="M274" s="115"/>
      <c r="N274" s="115"/>
      <c r="O274" s="115"/>
    </row>
    <row r="275" spans="1:15" ht="18" customHeight="1" x14ac:dyDescent="0.2">
      <c r="A275" s="237">
        <v>45537</v>
      </c>
      <c r="B275" s="232" t="s">
        <v>13</v>
      </c>
      <c r="C275" s="44"/>
      <c r="D275" s="44" t="s">
        <v>7</v>
      </c>
      <c r="E275" s="45"/>
      <c r="F275" s="46">
        <v>7</v>
      </c>
      <c r="G275" s="185" t="s">
        <v>13</v>
      </c>
      <c r="H275" s="47"/>
      <c r="I275" s="47" t="s">
        <v>10</v>
      </c>
      <c r="J275" s="46">
        <v>7</v>
      </c>
      <c r="K275" s="48"/>
      <c r="L275" s="115"/>
      <c r="M275" s="115"/>
      <c r="N275" s="115"/>
      <c r="O275" s="115"/>
    </row>
    <row r="276" spans="1:15" ht="18" customHeight="1" x14ac:dyDescent="0.2">
      <c r="A276" s="238"/>
      <c r="B276" s="233"/>
      <c r="C276" s="49"/>
      <c r="D276" s="44" t="s">
        <v>7</v>
      </c>
      <c r="E276" s="45"/>
      <c r="F276" s="46">
        <v>7</v>
      </c>
      <c r="G276" s="235"/>
      <c r="H276" s="50"/>
      <c r="I276" s="51" t="s">
        <v>10</v>
      </c>
      <c r="J276" s="46">
        <v>7</v>
      </c>
      <c r="K276" s="52"/>
      <c r="L276" s="115"/>
      <c r="M276" s="115"/>
      <c r="N276" s="115"/>
      <c r="O276" s="115"/>
    </row>
    <row r="277" spans="1:15" ht="18" customHeight="1" x14ac:dyDescent="0.2">
      <c r="A277" s="238"/>
      <c r="B277" s="233"/>
      <c r="C277" s="49"/>
      <c r="D277" s="44" t="s">
        <v>7</v>
      </c>
      <c r="E277" s="45"/>
      <c r="F277" s="46">
        <v>7</v>
      </c>
      <c r="G277" s="235"/>
      <c r="H277" s="50"/>
      <c r="I277" s="51" t="s">
        <v>10</v>
      </c>
      <c r="J277" s="46">
        <v>7</v>
      </c>
      <c r="K277" s="52"/>
      <c r="L277" s="115"/>
      <c r="M277" s="115"/>
      <c r="N277" s="115"/>
      <c r="O277" s="115"/>
    </row>
    <row r="278" spans="1:15" ht="18.75" customHeight="1" thickBot="1" x14ac:dyDescent="0.25">
      <c r="A278" s="238"/>
      <c r="B278" s="234"/>
      <c r="C278" s="53"/>
      <c r="D278" s="54" t="s">
        <v>7</v>
      </c>
      <c r="E278" s="55"/>
      <c r="F278" s="56">
        <v>7</v>
      </c>
      <c r="G278" s="236"/>
      <c r="H278" s="57"/>
      <c r="I278" s="58" t="s">
        <v>10</v>
      </c>
      <c r="J278" s="56">
        <v>7</v>
      </c>
      <c r="K278" s="59"/>
      <c r="L278" s="115"/>
      <c r="M278" s="115"/>
      <c r="N278" s="115"/>
      <c r="O278" s="115"/>
    </row>
    <row r="279" spans="1:15" ht="18" customHeight="1" x14ac:dyDescent="0.2">
      <c r="A279" s="237">
        <v>45538</v>
      </c>
      <c r="B279" s="202" t="s">
        <v>14</v>
      </c>
      <c r="C279" s="60"/>
      <c r="D279" s="60" t="s">
        <v>7</v>
      </c>
      <c r="E279" s="61"/>
      <c r="F279" s="62">
        <v>7</v>
      </c>
      <c r="G279" s="205" t="s">
        <v>14</v>
      </c>
      <c r="H279" s="44"/>
      <c r="I279" s="44" t="s">
        <v>10</v>
      </c>
      <c r="J279" s="62">
        <v>7</v>
      </c>
      <c r="K279" s="45"/>
      <c r="L279" s="115"/>
      <c r="M279" s="115"/>
      <c r="N279" s="115"/>
      <c r="O279" s="115"/>
    </row>
    <row r="280" spans="1:15" ht="18" customHeight="1" x14ac:dyDescent="0.2">
      <c r="A280" s="238"/>
      <c r="B280" s="203"/>
      <c r="C280" s="63"/>
      <c r="D280" s="64" t="s">
        <v>7</v>
      </c>
      <c r="E280" s="65"/>
      <c r="F280" s="66">
        <v>7</v>
      </c>
      <c r="G280" s="206"/>
      <c r="H280" s="49"/>
      <c r="I280" s="44" t="s">
        <v>10</v>
      </c>
      <c r="J280" s="66">
        <v>7</v>
      </c>
      <c r="K280" s="67"/>
      <c r="L280" s="115"/>
      <c r="M280" s="115"/>
      <c r="N280" s="115"/>
      <c r="O280" s="115"/>
    </row>
    <row r="281" spans="1:15" ht="18" customHeight="1" x14ac:dyDescent="0.2">
      <c r="A281" s="238"/>
      <c r="B281" s="203"/>
      <c r="C281" s="63"/>
      <c r="D281" s="64" t="s">
        <v>7</v>
      </c>
      <c r="E281" s="65"/>
      <c r="F281" s="66">
        <v>7</v>
      </c>
      <c r="G281" s="206"/>
      <c r="H281" s="49"/>
      <c r="I281" s="44" t="s">
        <v>10</v>
      </c>
      <c r="J281" s="66">
        <v>7</v>
      </c>
      <c r="K281" s="67"/>
      <c r="L281" s="115"/>
      <c r="M281" s="115"/>
      <c r="N281" s="115"/>
      <c r="O281" s="115"/>
    </row>
    <row r="282" spans="1:15" ht="18.75" customHeight="1" thickBot="1" x14ac:dyDescent="0.25">
      <c r="A282" s="238"/>
      <c r="B282" s="204"/>
      <c r="C282" s="68"/>
      <c r="D282" s="69" t="s">
        <v>7</v>
      </c>
      <c r="E282" s="70"/>
      <c r="F282" s="71">
        <v>7</v>
      </c>
      <c r="G282" s="207"/>
      <c r="H282" s="53"/>
      <c r="I282" s="54" t="s">
        <v>10</v>
      </c>
      <c r="J282" s="71">
        <v>7</v>
      </c>
      <c r="K282" s="72"/>
      <c r="L282" s="115"/>
      <c r="M282" s="115"/>
      <c r="N282" s="115"/>
      <c r="O282" s="115"/>
    </row>
    <row r="283" spans="1:15" ht="18" customHeight="1" x14ac:dyDescent="0.2">
      <c r="A283" s="237">
        <v>45539</v>
      </c>
      <c r="B283" s="208" t="s">
        <v>15</v>
      </c>
      <c r="C283" s="16"/>
      <c r="D283" s="16" t="s">
        <v>7</v>
      </c>
      <c r="E283" s="73"/>
      <c r="F283" s="74">
        <v>7</v>
      </c>
      <c r="G283" s="211" t="s">
        <v>15</v>
      </c>
      <c r="H283" s="75"/>
      <c r="I283" s="75" t="s">
        <v>10</v>
      </c>
      <c r="J283" s="74">
        <v>7</v>
      </c>
      <c r="K283" s="76"/>
      <c r="L283" s="115"/>
      <c r="M283" s="115"/>
      <c r="N283" s="115"/>
      <c r="O283" s="115"/>
    </row>
    <row r="284" spans="1:15" ht="18" customHeight="1" x14ac:dyDescent="0.2">
      <c r="A284" s="238"/>
      <c r="B284" s="209"/>
      <c r="C284" s="15"/>
      <c r="D284" s="16" t="s">
        <v>7</v>
      </c>
      <c r="E284" s="73"/>
      <c r="F284" s="74">
        <v>7</v>
      </c>
      <c r="G284" s="212"/>
      <c r="H284" s="77"/>
      <c r="I284" s="78" t="s">
        <v>10</v>
      </c>
      <c r="J284" s="74">
        <v>7</v>
      </c>
      <c r="K284" s="79"/>
      <c r="L284" s="115"/>
      <c r="M284" s="115"/>
      <c r="N284" s="115"/>
      <c r="O284" s="115"/>
    </row>
    <row r="285" spans="1:15" ht="18" customHeight="1" x14ac:dyDescent="0.2">
      <c r="A285" s="238"/>
      <c r="B285" s="209"/>
      <c r="C285" s="15"/>
      <c r="D285" s="16" t="s">
        <v>7</v>
      </c>
      <c r="E285" s="73"/>
      <c r="F285" s="74">
        <v>7</v>
      </c>
      <c r="G285" s="212"/>
      <c r="H285" s="77"/>
      <c r="I285" s="78" t="s">
        <v>10</v>
      </c>
      <c r="J285" s="74">
        <v>7</v>
      </c>
      <c r="K285" s="79"/>
      <c r="L285" s="115"/>
      <c r="M285" s="115"/>
      <c r="N285" s="115"/>
      <c r="O285" s="115"/>
    </row>
    <row r="286" spans="1:15" ht="18.75" customHeight="1" thickBot="1" x14ac:dyDescent="0.25">
      <c r="A286" s="238"/>
      <c r="B286" s="210"/>
      <c r="C286" s="80"/>
      <c r="D286" s="81" t="s">
        <v>7</v>
      </c>
      <c r="E286" s="82"/>
      <c r="F286" s="83">
        <v>7</v>
      </c>
      <c r="G286" s="213"/>
      <c r="H286" s="84"/>
      <c r="I286" s="85" t="s">
        <v>10</v>
      </c>
      <c r="J286" s="83">
        <v>7</v>
      </c>
      <c r="K286" s="86"/>
      <c r="L286" s="115"/>
      <c r="M286" s="115"/>
      <c r="N286" s="115"/>
      <c r="O286" s="115"/>
    </row>
    <row r="287" spans="1:15" ht="18" customHeight="1" x14ac:dyDescent="0.2">
      <c r="A287" s="237">
        <v>45540</v>
      </c>
      <c r="B287" s="214" t="s">
        <v>16</v>
      </c>
      <c r="C287" s="87"/>
      <c r="D287" s="87" t="s">
        <v>7</v>
      </c>
      <c r="E287" s="88"/>
      <c r="F287" s="89">
        <v>7</v>
      </c>
      <c r="G287" s="217" t="s">
        <v>16</v>
      </c>
      <c r="H287" s="90"/>
      <c r="I287" s="90" t="s">
        <v>10</v>
      </c>
      <c r="J287" s="89">
        <v>0</v>
      </c>
      <c r="K287" s="91"/>
      <c r="L287" s="115"/>
      <c r="M287" s="115"/>
      <c r="N287" s="115"/>
      <c r="O287" s="115"/>
    </row>
    <row r="288" spans="1:15" ht="18" customHeight="1" x14ac:dyDescent="0.2">
      <c r="A288" s="238"/>
      <c r="B288" s="215"/>
      <c r="C288" s="92"/>
      <c r="D288" s="93" t="s">
        <v>7</v>
      </c>
      <c r="E288" s="94"/>
      <c r="F288" s="95">
        <v>7</v>
      </c>
      <c r="G288" s="218"/>
      <c r="H288" s="96"/>
      <c r="I288" s="97" t="s">
        <v>10</v>
      </c>
      <c r="J288" s="95">
        <v>7</v>
      </c>
      <c r="K288" s="98"/>
      <c r="L288" s="115"/>
      <c r="M288" s="115"/>
      <c r="N288" s="115"/>
      <c r="O288" s="115"/>
    </row>
    <row r="289" spans="1:15" ht="18" customHeight="1" x14ac:dyDescent="0.2">
      <c r="A289" s="238"/>
      <c r="B289" s="215"/>
      <c r="C289" s="92"/>
      <c r="D289" s="93" t="s">
        <v>7</v>
      </c>
      <c r="E289" s="94"/>
      <c r="F289" s="95">
        <v>7</v>
      </c>
      <c r="G289" s="218"/>
      <c r="H289" s="96"/>
      <c r="I289" s="97" t="s">
        <v>10</v>
      </c>
      <c r="J289" s="95">
        <v>7</v>
      </c>
      <c r="K289" s="98"/>
      <c r="L289" s="115"/>
      <c r="M289" s="115"/>
      <c r="N289" s="115"/>
      <c r="O289" s="115"/>
    </row>
    <row r="290" spans="1:15" ht="18.75" customHeight="1" thickBot="1" x14ac:dyDescent="0.25">
      <c r="A290" s="238"/>
      <c r="B290" s="216"/>
      <c r="C290" s="99"/>
      <c r="D290" s="100" t="s">
        <v>7</v>
      </c>
      <c r="E290" s="101"/>
      <c r="F290" s="102">
        <v>7</v>
      </c>
      <c r="G290" s="219"/>
      <c r="H290" s="103"/>
      <c r="I290" s="104" t="s">
        <v>10</v>
      </c>
      <c r="J290" s="102">
        <v>7</v>
      </c>
      <c r="K290" s="105"/>
      <c r="L290" s="115"/>
      <c r="M290" s="115"/>
      <c r="N290" s="115"/>
      <c r="O290" s="115"/>
    </row>
    <row r="291" spans="1:15" ht="23.25" x14ac:dyDescent="0.35">
      <c r="A291" s="118"/>
      <c r="B291" s="106"/>
      <c r="C291" s="107"/>
      <c r="D291" s="194" t="s">
        <v>20</v>
      </c>
      <c r="E291" s="195"/>
      <c r="F291" s="108">
        <f>SUM(F267:F290)</f>
        <v>168</v>
      </c>
      <c r="G291" s="107"/>
      <c r="H291" s="185" t="s">
        <v>20</v>
      </c>
      <c r="I291" s="186"/>
      <c r="J291" s="108">
        <f>SUM(J267:J290)</f>
        <v>161</v>
      </c>
      <c r="K291" s="109"/>
      <c r="L291" s="115"/>
      <c r="M291" s="115"/>
      <c r="N291" s="115"/>
      <c r="O291" s="115"/>
    </row>
    <row r="292" spans="1:15" ht="24" thickBot="1" x14ac:dyDescent="0.4">
      <c r="A292" s="119"/>
      <c r="B292" s="110"/>
      <c r="C292" s="111"/>
      <c r="D292" s="187" t="s">
        <v>21</v>
      </c>
      <c r="E292" s="188"/>
      <c r="F292" s="112">
        <f>F291/240*1</f>
        <v>0.7</v>
      </c>
      <c r="G292" s="111"/>
      <c r="H292" s="189" t="s">
        <v>22</v>
      </c>
      <c r="I292" s="190"/>
      <c r="J292" s="113">
        <f>J291/240*1</f>
        <v>0.67083333333333328</v>
      </c>
      <c r="K292" s="114"/>
      <c r="L292" s="115"/>
      <c r="M292" s="115"/>
      <c r="N292" s="115"/>
      <c r="O292" s="115"/>
    </row>
    <row r="293" spans="1:15" ht="24" thickBot="1" x14ac:dyDescent="0.4">
      <c r="A293" s="120">
        <v>11</v>
      </c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</row>
    <row r="294" spans="1:15" ht="21" thickBot="1" x14ac:dyDescent="0.35">
      <c r="A294" s="244" t="s">
        <v>25</v>
      </c>
      <c r="B294" s="191" t="s">
        <v>0</v>
      </c>
      <c r="C294" s="192"/>
      <c r="D294" s="192"/>
      <c r="E294" s="192"/>
      <c r="F294" s="192"/>
      <c r="G294" s="192"/>
      <c r="H294" s="192"/>
      <c r="I294" s="192"/>
      <c r="J294" s="192"/>
      <c r="K294" s="193"/>
      <c r="L294" s="115"/>
      <c r="M294" s="115"/>
      <c r="N294" s="115"/>
      <c r="O294" s="115"/>
    </row>
    <row r="295" spans="1:15" ht="21" thickBot="1" x14ac:dyDescent="0.35">
      <c r="A295" s="245"/>
      <c r="B295" s="196" t="s">
        <v>17</v>
      </c>
      <c r="C295" s="197"/>
      <c r="D295" s="197"/>
      <c r="E295" s="197"/>
      <c r="F295" s="198"/>
      <c r="G295" s="199" t="s">
        <v>1</v>
      </c>
      <c r="H295" s="200"/>
      <c r="I295" s="200"/>
      <c r="J295" s="200"/>
      <c r="K295" s="201"/>
      <c r="L295" s="115"/>
      <c r="M295" s="115"/>
      <c r="N295" s="115"/>
      <c r="O295" s="115"/>
    </row>
    <row r="296" spans="1:15" ht="41.25" thickBot="1" x14ac:dyDescent="0.25">
      <c r="A296" s="246"/>
      <c r="B296" s="2" t="s">
        <v>2</v>
      </c>
      <c r="C296" s="3" t="s">
        <v>6</v>
      </c>
      <c r="D296" s="3" t="s">
        <v>7</v>
      </c>
      <c r="E296" s="3" t="s">
        <v>8</v>
      </c>
      <c r="F296" s="4" t="s">
        <v>19</v>
      </c>
      <c r="G296" s="5" t="s">
        <v>2</v>
      </c>
      <c r="H296" s="6" t="s">
        <v>3</v>
      </c>
      <c r="I296" s="6" t="s">
        <v>4</v>
      </c>
      <c r="J296" s="7" t="s">
        <v>18</v>
      </c>
      <c r="K296" s="8" t="s">
        <v>5</v>
      </c>
      <c r="L296" s="115"/>
      <c r="M296" s="115"/>
      <c r="N296" s="115"/>
      <c r="O296" s="115"/>
    </row>
    <row r="297" spans="1:15" ht="18" x14ac:dyDescent="0.2">
      <c r="A297" s="237">
        <v>45542</v>
      </c>
      <c r="B297" s="220" t="s">
        <v>9</v>
      </c>
      <c r="C297" s="9"/>
      <c r="D297" s="9" t="s">
        <v>7</v>
      </c>
      <c r="E297" s="10"/>
      <c r="F297" s="11">
        <v>7</v>
      </c>
      <c r="G297" s="223" t="s">
        <v>9</v>
      </c>
      <c r="H297" s="12"/>
      <c r="I297" s="12" t="s">
        <v>10</v>
      </c>
      <c r="J297" s="11">
        <v>7</v>
      </c>
      <c r="K297" s="13"/>
      <c r="L297" s="115"/>
      <c r="M297" s="115"/>
      <c r="N297" s="115"/>
      <c r="O297" s="115"/>
    </row>
    <row r="298" spans="1:15" ht="18" x14ac:dyDescent="0.2">
      <c r="A298" s="238"/>
      <c r="B298" s="221"/>
      <c r="C298" s="14"/>
      <c r="D298" s="9" t="s">
        <v>7</v>
      </c>
      <c r="E298" s="10"/>
      <c r="F298" s="11">
        <v>7</v>
      </c>
      <c r="G298" s="224"/>
      <c r="H298" s="15"/>
      <c r="I298" s="16" t="s">
        <v>10</v>
      </c>
      <c r="J298" s="11">
        <v>7</v>
      </c>
      <c r="K298" s="17"/>
      <c r="L298" s="115"/>
      <c r="M298" s="115"/>
      <c r="N298" s="115"/>
      <c r="O298" s="115"/>
    </row>
    <row r="299" spans="1:15" ht="18" x14ac:dyDescent="0.2">
      <c r="A299" s="238"/>
      <c r="B299" s="221"/>
      <c r="C299" s="14"/>
      <c r="D299" s="9" t="s">
        <v>7</v>
      </c>
      <c r="E299" s="10"/>
      <c r="F299" s="11">
        <v>7</v>
      </c>
      <c r="G299" s="224"/>
      <c r="H299" s="15"/>
      <c r="I299" s="16" t="s">
        <v>10</v>
      </c>
      <c r="J299" s="11">
        <v>7</v>
      </c>
      <c r="K299" s="17"/>
      <c r="L299" s="115"/>
      <c r="M299" s="115"/>
      <c r="N299" s="115"/>
      <c r="O299" s="115"/>
    </row>
    <row r="300" spans="1:15" ht="18.75" thickBot="1" x14ac:dyDescent="0.25">
      <c r="A300" s="238"/>
      <c r="B300" s="222"/>
      <c r="C300" s="18"/>
      <c r="D300" s="19" t="s">
        <v>7</v>
      </c>
      <c r="E300" s="20"/>
      <c r="F300" s="21">
        <v>7</v>
      </c>
      <c r="G300" s="225"/>
      <c r="H300" s="22"/>
      <c r="I300" s="23" t="s">
        <v>10</v>
      </c>
      <c r="J300" s="21">
        <v>7</v>
      </c>
      <c r="K300" s="24"/>
      <c r="L300" s="115"/>
      <c r="M300" s="115"/>
      <c r="N300" s="115"/>
      <c r="O300" s="115"/>
    </row>
    <row r="301" spans="1:15" ht="18" customHeight="1" x14ac:dyDescent="0.2">
      <c r="A301" s="237">
        <v>45543</v>
      </c>
      <c r="B301" s="226" t="s">
        <v>12</v>
      </c>
      <c r="C301" s="25"/>
      <c r="D301" s="25" t="s">
        <v>7</v>
      </c>
      <c r="E301" s="26"/>
      <c r="F301" s="27">
        <v>7</v>
      </c>
      <c r="G301" s="229" t="s">
        <v>12</v>
      </c>
      <c r="H301" s="28"/>
      <c r="I301" s="28" t="s">
        <v>10</v>
      </c>
      <c r="J301" s="27">
        <v>7</v>
      </c>
      <c r="K301" s="29"/>
      <c r="L301" s="115"/>
      <c r="M301" s="115"/>
      <c r="N301" s="115"/>
      <c r="O301" s="115"/>
    </row>
    <row r="302" spans="1:15" ht="18" customHeight="1" x14ac:dyDescent="0.2">
      <c r="A302" s="238"/>
      <c r="B302" s="227"/>
      <c r="C302" s="30"/>
      <c r="D302" s="31" t="s">
        <v>7</v>
      </c>
      <c r="E302" s="32"/>
      <c r="F302" s="33">
        <v>7</v>
      </c>
      <c r="G302" s="230"/>
      <c r="H302" s="34"/>
      <c r="I302" s="35" t="s">
        <v>10</v>
      </c>
      <c r="J302" s="33">
        <v>7</v>
      </c>
      <c r="K302" s="36"/>
      <c r="L302" s="115"/>
      <c r="M302" s="115"/>
      <c r="N302" s="115"/>
      <c r="O302" s="115"/>
    </row>
    <row r="303" spans="1:15" ht="18" customHeight="1" x14ac:dyDescent="0.2">
      <c r="A303" s="238"/>
      <c r="B303" s="227"/>
      <c r="C303" s="30"/>
      <c r="D303" s="31" t="s">
        <v>7</v>
      </c>
      <c r="E303" s="32"/>
      <c r="F303" s="33">
        <v>7</v>
      </c>
      <c r="G303" s="230"/>
      <c r="H303" s="34"/>
      <c r="I303" s="35" t="s">
        <v>10</v>
      </c>
      <c r="J303" s="33">
        <v>7</v>
      </c>
      <c r="K303" s="36"/>
      <c r="L303" s="115"/>
      <c r="M303" s="115"/>
      <c r="N303" s="115"/>
      <c r="O303" s="115"/>
    </row>
    <row r="304" spans="1:15" ht="18.75" customHeight="1" thickBot="1" x14ac:dyDescent="0.25">
      <c r="A304" s="238"/>
      <c r="B304" s="228"/>
      <c r="C304" s="37"/>
      <c r="D304" s="38" t="s">
        <v>7</v>
      </c>
      <c r="E304" s="39"/>
      <c r="F304" s="40">
        <v>7</v>
      </c>
      <c r="G304" s="231"/>
      <c r="H304" s="41"/>
      <c r="I304" s="42" t="s">
        <v>10</v>
      </c>
      <c r="J304" s="40">
        <v>7</v>
      </c>
      <c r="K304" s="43"/>
      <c r="L304" s="115"/>
      <c r="M304" s="115"/>
      <c r="N304" s="115"/>
      <c r="O304" s="115"/>
    </row>
    <row r="305" spans="1:15" ht="18" customHeight="1" x14ac:dyDescent="0.2">
      <c r="A305" s="237">
        <v>45544</v>
      </c>
      <c r="B305" s="232" t="s">
        <v>13</v>
      </c>
      <c r="C305" s="44"/>
      <c r="D305" s="44" t="s">
        <v>7</v>
      </c>
      <c r="E305" s="45"/>
      <c r="F305" s="46">
        <v>7</v>
      </c>
      <c r="G305" s="185" t="s">
        <v>13</v>
      </c>
      <c r="H305" s="47"/>
      <c r="I305" s="47" t="s">
        <v>10</v>
      </c>
      <c r="J305" s="46">
        <v>7</v>
      </c>
      <c r="K305" s="48"/>
      <c r="L305" s="115"/>
      <c r="M305" s="115"/>
      <c r="N305" s="115"/>
      <c r="O305" s="115"/>
    </row>
    <row r="306" spans="1:15" ht="18" customHeight="1" x14ac:dyDescent="0.2">
      <c r="A306" s="238"/>
      <c r="B306" s="233"/>
      <c r="C306" s="49"/>
      <c r="D306" s="44" t="s">
        <v>7</v>
      </c>
      <c r="E306" s="45"/>
      <c r="F306" s="46">
        <v>7</v>
      </c>
      <c r="G306" s="235"/>
      <c r="H306" s="50"/>
      <c r="I306" s="51" t="s">
        <v>10</v>
      </c>
      <c r="J306" s="46">
        <v>7</v>
      </c>
      <c r="K306" s="52"/>
      <c r="L306" s="115"/>
      <c r="M306" s="115"/>
      <c r="N306" s="115"/>
      <c r="O306" s="115"/>
    </row>
    <row r="307" spans="1:15" ht="18" customHeight="1" x14ac:dyDescent="0.2">
      <c r="A307" s="238"/>
      <c r="B307" s="233"/>
      <c r="C307" s="49"/>
      <c r="D307" s="44" t="s">
        <v>7</v>
      </c>
      <c r="E307" s="45"/>
      <c r="F307" s="46">
        <v>7</v>
      </c>
      <c r="G307" s="235"/>
      <c r="H307" s="50"/>
      <c r="I307" s="51" t="s">
        <v>10</v>
      </c>
      <c r="J307" s="46">
        <v>7</v>
      </c>
      <c r="K307" s="52"/>
      <c r="L307" s="115"/>
      <c r="M307" s="115"/>
      <c r="N307" s="115"/>
      <c r="O307" s="115"/>
    </row>
    <row r="308" spans="1:15" ht="18.75" customHeight="1" thickBot="1" x14ac:dyDescent="0.25">
      <c r="A308" s="238"/>
      <c r="B308" s="234"/>
      <c r="C308" s="53"/>
      <c r="D308" s="54" t="s">
        <v>7</v>
      </c>
      <c r="E308" s="55"/>
      <c r="F308" s="56">
        <v>7</v>
      </c>
      <c r="G308" s="236"/>
      <c r="H308" s="57"/>
      <c r="I308" s="58" t="s">
        <v>10</v>
      </c>
      <c r="J308" s="56">
        <v>7</v>
      </c>
      <c r="K308" s="59"/>
      <c r="L308" s="115"/>
      <c r="M308" s="115"/>
      <c r="N308" s="115"/>
      <c r="O308" s="115"/>
    </row>
    <row r="309" spans="1:15" ht="18" customHeight="1" x14ac:dyDescent="0.2">
      <c r="A309" s="237">
        <v>45545</v>
      </c>
      <c r="B309" s="202" t="s">
        <v>14</v>
      </c>
      <c r="C309" s="60"/>
      <c r="D309" s="60" t="s">
        <v>7</v>
      </c>
      <c r="E309" s="61"/>
      <c r="F309" s="62">
        <v>7</v>
      </c>
      <c r="G309" s="205" t="s">
        <v>14</v>
      </c>
      <c r="H309" s="44"/>
      <c r="I309" s="44" t="s">
        <v>10</v>
      </c>
      <c r="J309" s="62">
        <v>7</v>
      </c>
      <c r="K309" s="45"/>
      <c r="L309" s="115"/>
      <c r="M309" s="115"/>
      <c r="N309" s="115"/>
      <c r="O309" s="115"/>
    </row>
    <row r="310" spans="1:15" ht="18" customHeight="1" x14ac:dyDescent="0.2">
      <c r="A310" s="238"/>
      <c r="B310" s="203"/>
      <c r="C310" s="63"/>
      <c r="D310" s="64" t="s">
        <v>7</v>
      </c>
      <c r="E310" s="65"/>
      <c r="F310" s="66">
        <v>7</v>
      </c>
      <c r="G310" s="206"/>
      <c r="H310" s="49"/>
      <c r="I310" s="44" t="s">
        <v>10</v>
      </c>
      <c r="J310" s="66">
        <v>7</v>
      </c>
      <c r="K310" s="67"/>
      <c r="L310" s="115"/>
      <c r="M310" s="115"/>
      <c r="N310" s="115"/>
      <c r="O310" s="115"/>
    </row>
    <row r="311" spans="1:15" ht="18" customHeight="1" x14ac:dyDescent="0.2">
      <c r="A311" s="238"/>
      <c r="B311" s="203"/>
      <c r="C311" s="63"/>
      <c r="D311" s="64" t="s">
        <v>7</v>
      </c>
      <c r="E311" s="65"/>
      <c r="F311" s="66">
        <v>7</v>
      </c>
      <c r="G311" s="206"/>
      <c r="H311" s="49"/>
      <c r="I311" s="44" t="s">
        <v>10</v>
      </c>
      <c r="J311" s="66">
        <v>7</v>
      </c>
      <c r="K311" s="67"/>
      <c r="L311" s="115"/>
      <c r="M311" s="115"/>
      <c r="N311" s="115"/>
      <c r="O311" s="115"/>
    </row>
    <row r="312" spans="1:15" ht="18.75" customHeight="1" thickBot="1" x14ac:dyDescent="0.25">
      <c r="A312" s="238"/>
      <c r="B312" s="204"/>
      <c r="C312" s="68"/>
      <c r="D312" s="69" t="s">
        <v>7</v>
      </c>
      <c r="E312" s="70"/>
      <c r="F312" s="71">
        <v>7</v>
      </c>
      <c r="G312" s="207"/>
      <c r="H312" s="53"/>
      <c r="I312" s="54" t="s">
        <v>10</v>
      </c>
      <c r="J312" s="71">
        <v>7</v>
      </c>
      <c r="K312" s="72"/>
      <c r="L312" s="115"/>
      <c r="M312" s="115"/>
      <c r="N312" s="115"/>
      <c r="O312" s="115"/>
    </row>
    <row r="313" spans="1:15" ht="18" customHeight="1" x14ac:dyDescent="0.2">
      <c r="A313" s="237">
        <v>45546</v>
      </c>
      <c r="B313" s="208" t="s">
        <v>15</v>
      </c>
      <c r="C313" s="16"/>
      <c r="D313" s="16" t="s">
        <v>7</v>
      </c>
      <c r="E313" s="73"/>
      <c r="F313" s="74">
        <v>7</v>
      </c>
      <c r="G313" s="211" t="s">
        <v>15</v>
      </c>
      <c r="H313" s="75"/>
      <c r="I313" s="75" t="s">
        <v>10</v>
      </c>
      <c r="J313" s="74">
        <v>7</v>
      </c>
      <c r="K313" s="76"/>
      <c r="L313" s="115"/>
      <c r="M313" s="115"/>
      <c r="N313" s="115"/>
      <c r="O313" s="115"/>
    </row>
    <row r="314" spans="1:15" ht="18" customHeight="1" x14ac:dyDescent="0.2">
      <c r="A314" s="238"/>
      <c r="B314" s="209"/>
      <c r="C314" s="15"/>
      <c r="D314" s="16" t="s">
        <v>7</v>
      </c>
      <c r="E314" s="73"/>
      <c r="F314" s="74">
        <v>7</v>
      </c>
      <c r="G314" s="212"/>
      <c r="H314" s="77"/>
      <c r="I314" s="78" t="s">
        <v>10</v>
      </c>
      <c r="J314" s="74">
        <v>7</v>
      </c>
      <c r="K314" s="79"/>
      <c r="L314" s="115"/>
      <c r="M314" s="115"/>
      <c r="N314" s="115"/>
      <c r="O314" s="115"/>
    </row>
    <row r="315" spans="1:15" ht="18" customHeight="1" x14ac:dyDescent="0.2">
      <c r="A315" s="238"/>
      <c r="B315" s="209"/>
      <c r="C315" s="15"/>
      <c r="D315" s="16" t="s">
        <v>7</v>
      </c>
      <c r="E315" s="73"/>
      <c r="F315" s="74">
        <v>7</v>
      </c>
      <c r="G315" s="212"/>
      <c r="H315" s="77"/>
      <c r="I315" s="78" t="s">
        <v>10</v>
      </c>
      <c r="J315" s="74">
        <v>7</v>
      </c>
      <c r="K315" s="79"/>
      <c r="L315" s="115"/>
      <c r="M315" s="115"/>
      <c r="N315" s="115"/>
      <c r="O315" s="115"/>
    </row>
    <row r="316" spans="1:15" ht="18.75" customHeight="1" thickBot="1" x14ac:dyDescent="0.25">
      <c r="A316" s="238"/>
      <c r="B316" s="210"/>
      <c r="C316" s="80"/>
      <c r="D316" s="81" t="s">
        <v>7</v>
      </c>
      <c r="E316" s="82"/>
      <c r="F316" s="83">
        <v>7</v>
      </c>
      <c r="G316" s="213"/>
      <c r="H316" s="84"/>
      <c r="I316" s="85" t="s">
        <v>10</v>
      </c>
      <c r="J316" s="83">
        <v>7</v>
      </c>
      <c r="K316" s="86"/>
      <c r="L316" s="115"/>
      <c r="M316" s="115"/>
      <c r="N316" s="115"/>
      <c r="O316" s="115"/>
    </row>
    <row r="317" spans="1:15" ht="18" customHeight="1" x14ac:dyDescent="0.2">
      <c r="A317" s="237">
        <v>45547</v>
      </c>
      <c r="B317" s="214" t="s">
        <v>16</v>
      </c>
      <c r="C317" s="87"/>
      <c r="D317" s="87" t="s">
        <v>7</v>
      </c>
      <c r="E317" s="88"/>
      <c r="F317" s="89">
        <v>7</v>
      </c>
      <c r="G317" s="217" t="s">
        <v>16</v>
      </c>
      <c r="H317" s="90"/>
      <c r="I317" s="90" t="s">
        <v>10</v>
      </c>
      <c r="J317" s="89">
        <v>0</v>
      </c>
      <c r="K317" s="91"/>
      <c r="L317" s="115"/>
      <c r="M317" s="115"/>
      <c r="N317" s="115"/>
      <c r="O317" s="115"/>
    </row>
    <row r="318" spans="1:15" ht="18" customHeight="1" x14ac:dyDescent="0.2">
      <c r="A318" s="238"/>
      <c r="B318" s="215"/>
      <c r="C318" s="92"/>
      <c r="D318" s="93" t="s">
        <v>7</v>
      </c>
      <c r="E318" s="94"/>
      <c r="F318" s="95">
        <v>7</v>
      </c>
      <c r="G318" s="218"/>
      <c r="H318" s="96"/>
      <c r="I318" s="97" t="s">
        <v>10</v>
      </c>
      <c r="J318" s="95">
        <v>7</v>
      </c>
      <c r="K318" s="98"/>
      <c r="L318" s="115"/>
      <c r="M318" s="115"/>
      <c r="N318" s="115"/>
      <c r="O318" s="115"/>
    </row>
    <row r="319" spans="1:15" ht="18" customHeight="1" x14ac:dyDescent="0.2">
      <c r="A319" s="238"/>
      <c r="B319" s="215"/>
      <c r="C319" s="92"/>
      <c r="D319" s="93" t="s">
        <v>7</v>
      </c>
      <c r="E319" s="94"/>
      <c r="F319" s="95">
        <v>7</v>
      </c>
      <c r="G319" s="218"/>
      <c r="H319" s="96"/>
      <c r="I319" s="97" t="s">
        <v>10</v>
      </c>
      <c r="J319" s="95">
        <v>7</v>
      </c>
      <c r="K319" s="98"/>
      <c r="L319" s="115"/>
      <c r="M319" s="115"/>
      <c r="N319" s="115"/>
      <c r="O319" s="115"/>
    </row>
    <row r="320" spans="1:15" ht="18.75" customHeight="1" thickBot="1" x14ac:dyDescent="0.25">
      <c r="A320" s="238"/>
      <c r="B320" s="216"/>
      <c r="C320" s="99"/>
      <c r="D320" s="100" t="s">
        <v>7</v>
      </c>
      <c r="E320" s="101"/>
      <c r="F320" s="102">
        <v>7</v>
      </c>
      <c r="G320" s="219"/>
      <c r="H320" s="103"/>
      <c r="I320" s="104" t="s">
        <v>10</v>
      </c>
      <c r="J320" s="102">
        <v>7</v>
      </c>
      <c r="K320" s="105"/>
      <c r="L320" s="115"/>
      <c r="M320" s="115"/>
      <c r="N320" s="115"/>
      <c r="O320" s="115"/>
    </row>
    <row r="321" spans="1:15" ht="23.25" x14ac:dyDescent="0.35">
      <c r="A321" s="118"/>
      <c r="B321" s="106"/>
      <c r="C321" s="107"/>
      <c r="D321" s="194" t="s">
        <v>20</v>
      </c>
      <c r="E321" s="195"/>
      <c r="F321" s="108">
        <f>SUM(F297:F320)</f>
        <v>168</v>
      </c>
      <c r="G321" s="107"/>
      <c r="H321" s="185" t="s">
        <v>20</v>
      </c>
      <c r="I321" s="186"/>
      <c r="J321" s="108">
        <f>SUM(J297:J320)</f>
        <v>161</v>
      </c>
      <c r="K321" s="109"/>
      <c r="L321" s="115"/>
      <c r="M321" s="115"/>
      <c r="N321" s="115"/>
      <c r="O321" s="115"/>
    </row>
    <row r="322" spans="1:15" ht="24" thickBot="1" x14ac:dyDescent="0.4">
      <c r="A322" s="119"/>
      <c r="B322" s="110"/>
      <c r="C322" s="111"/>
      <c r="D322" s="187" t="s">
        <v>21</v>
      </c>
      <c r="E322" s="188"/>
      <c r="F322" s="112">
        <f>F321/240*1</f>
        <v>0.7</v>
      </c>
      <c r="G322" s="111"/>
      <c r="H322" s="189" t="s">
        <v>22</v>
      </c>
      <c r="I322" s="190"/>
      <c r="J322" s="113">
        <f>J321/240*1</f>
        <v>0.67083333333333328</v>
      </c>
      <c r="K322" s="114"/>
      <c r="L322" s="115"/>
      <c r="M322" s="115"/>
      <c r="N322" s="115"/>
      <c r="O322" s="115"/>
    </row>
    <row r="323" spans="1:15" ht="24" thickBot="1" x14ac:dyDescent="0.4">
      <c r="A323" s="120">
        <v>12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</row>
    <row r="324" spans="1:15" ht="21" thickBot="1" x14ac:dyDescent="0.35">
      <c r="A324" s="244" t="s">
        <v>25</v>
      </c>
      <c r="B324" s="191" t="s">
        <v>0</v>
      </c>
      <c r="C324" s="192"/>
      <c r="D324" s="192"/>
      <c r="E324" s="192"/>
      <c r="F324" s="192"/>
      <c r="G324" s="192"/>
      <c r="H324" s="192"/>
      <c r="I324" s="192"/>
      <c r="J324" s="192"/>
      <c r="K324" s="193"/>
      <c r="L324" s="115"/>
      <c r="M324" s="115"/>
      <c r="N324" s="115"/>
      <c r="O324" s="115"/>
    </row>
    <row r="325" spans="1:15" ht="21" thickBot="1" x14ac:dyDescent="0.35">
      <c r="A325" s="245"/>
      <c r="B325" s="196" t="s">
        <v>17</v>
      </c>
      <c r="C325" s="197"/>
      <c r="D325" s="197"/>
      <c r="E325" s="197"/>
      <c r="F325" s="198"/>
      <c r="G325" s="199" t="s">
        <v>1</v>
      </c>
      <c r="H325" s="200"/>
      <c r="I325" s="200"/>
      <c r="J325" s="200"/>
      <c r="K325" s="201"/>
      <c r="L325" s="115"/>
      <c r="M325" s="115"/>
      <c r="N325" s="115"/>
      <c r="O325" s="115"/>
    </row>
    <row r="326" spans="1:15" ht="41.25" thickBot="1" x14ac:dyDescent="0.25">
      <c r="A326" s="246"/>
      <c r="B326" s="2" t="s">
        <v>2</v>
      </c>
      <c r="C326" s="3" t="s">
        <v>6</v>
      </c>
      <c r="D326" s="3" t="s">
        <v>7</v>
      </c>
      <c r="E326" s="3" t="s">
        <v>8</v>
      </c>
      <c r="F326" s="4" t="s">
        <v>19</v>
      </c>
      <c r="G326" s="5" t="s">
        <v>2</v>
      </c>
      <c r="H326" s="6" t="s">
        <v>3</v>
      </c>
      <c r="I326" s="6" t="s">
        <v>4</v>
      </c>
      <c r="J326" s="7" t="s">
        <v>18</v>
      </c>
      <c r="K326" s="8" t="s">
        <v>5</v>
      </c>
      <c r="L326" s="115"/>
      <c r="M326" s="115"/>
      <c r="N326" s="115"/>
      <c r="O326" s="115"/>
    </row>
    <row r="327" spans="1:15" ht="18" x14ac:dyDescent="0.2">
      <c r="A327" s="237">
        <v>45549</v>
      </c>
      <c r="B327" s="220" t="s">
        <v>9</v>
      </c>
      <c r="C327" s="9"/>
      <c r="D327" s="9" t="s">
        <v>7</v>
      </c>
      <c r="E327" s="10"/>
      <c r="F327" s="11">
        <v>7</v>
      </c>
      <c r="G327" s="223" t="s">
        <v>9</v>
      </c>
      <c r="H327" s="12"/>
      <c r="I327" s="12" t="s">
        <v>10</v>
      </c>
      <c r="J327" s="11">
        <v>7</v>
      </c>
      <c r="K327" s="13"/>
      <c r="L327" s="115"/>
      <c r="M327" s="115"/>
      <c r="N327" s="115"/>
      <c r="O327" s="115"/>
    </row>
    <row r="328" spans="1:15" ht="18" x14ac:dyDescent="0.2">
      <c r="A328" s="238"/>
      <c r="B328" s="221"/>
      <c r="C328" s="14"/>
      <c r="D328" s="9" t="s">
        <v>7</v>
      </c>
      <c r="E328" s="10"/>
      <c r="F328" s="11">
        <v>7</v>
      </c>
      <c r="G328" s="224"/>
      <c r="H328" s="15"/>
      <c r="I328" s="16" t="s">
        <v>10</v>
      </c>
      <c r="J328" s="11">
        <v>7</v>
      </c>
      <c r="K328" s="17"/>
      <c r="L328" s="115"/>
      <c r="M328" s="115"/>
      <c r="N328" s="115"/>
      <c r="O328" s="115"/>
    </row>
    <row r="329" spans="1:15" ht="18" x14ac:dyDescent="0.2">
      <c r="A329" s="238"/>
      <c r="B329" s="221"/>
      <c r="C329" s="14"/>
      <c r="D329" s="9" t="s">
        <v>7</v>
      </c>
      <c r="E329" s="10"/>
      <c r="F329" s="11">
        <v>7</v>
      </c>
      <c r="G329" s="224"/>
      <c r="H329" s="15"/>
      <c r="I329" s="16" t="s">
        <v>10</v>
      </c>
      <c r="J329" s="11">
        <v>7</v>
      </c>
      <c r="K329" s="17"/>
      <c r="L329" s="115"/>
      <c r="M329" s="115"/>
      <c r="N329" s="115"/>
      <c r="O329" s="115"/>
    </row>
    <row r="330" spans="1:15" ht="18.75" thickBot="1" x14ac:dyDescent="0.25">
      <c r="A330" s="238"/>
      <c r="B330" s="222"/>
      <c r="C330" s="18"/>
      <c r="D330" s="19" t="s">
        <v>7</v>
      </c>
      <c r="E330" s="20"/>
      <c r="F330" s="21">
        <v>7</v>
      </c>
      <c r="G330" s="225"/>
      <c r="H330" s="22"/>
      <c r="I330" s="23" t="s">
        <v>10</v>
      </c>
      <c r="J330" s="21">
        <v>7</v>
      </c>
      <c r="K330" s="24"/>
      <c r="L330" s="115"/>
      <c r="M330" s="115"/>
      <c r="N330" s="115"/>
      <c r="O330" s="115"/>
    </row>
    <row r="331" spans="1:15" ht="18" customHeight="1" x14ac:dyDescent="0.2">
      <c r="A331" s="237">
        <v>45550</v>
      </c>
      <c r="B331" s="226" t="s">
        <v>12</v>
      </c>
      <c r="C331" s="25"/>
      <c r="D331" s="25" t="s">
        <v>7</v>
      </c>
      <c r="E331" s="26"/>
      <c r="F331" s="27">
        <v>7</v>
      </c>
      <c r="G331" s="229" t="s">
        <v>12</v>
      </c>
      <c r="H331" s="28"/>
      <c r="I331" s="28" t="s">
        <v>10</v>
      </c>
      <c r="J331" s="27">
        <v>7</v>
      </c>
      <c r="K331" s="29"/>
      <c r="L331" s="115"/>
      <c r="M331" s="115"/>
      <c r="N331" s="115"/>
      <c r="O331" s="115"/>
    </row>
    <row r="332" spans="1:15" ht="18" customHeight="1" x14ac:dyDescent="0.2">
      <c r="A332" s="238"/>
      <c r="B332" s="227"/>
      <c r="C332" s="30"/>
      <c r="D332" s="31" t="s">
        <v>7</v>
      </c>
      <c r="E332" s="32"/>
      <c r="F332" s="33">
        <v>7</v>
      </c>
      <c r="G332" s="230"/>
      <c r="H332" s="34"/>
      <c r="I332" s="35" t="s">
        <v>10</v>
      </c>
      <c r="J332" s="33">
        <v>7</v>
      </c>
      <c r="K332" s="36"/>
      <c r="L332" s="115"/>
      <c r="M332" s="115"/>
      <c r="N332" s="115"/>
      <c r="O332" s="115"/>
    </row>
    <row r="333" spans="1:15" ht="18" customHeight="1" x14ac:dyDescent="0.2">
      <c r="A333" s="238"/>
      <c r="B333" s="227"/>
      <c r="C333" s="30"/>
      <c r="D333" s="31" t="s">
        <v>7</v>
      </c>
      <c r="E333" s="32"/>
      <c r="F333" s="33">
        <v>7</v>
      </c>
      <c r="G333" s="230"/>
      <c r="H333" s="34"/>
      <c r="I333" s="35" t="s">
        <v>10</v>
      </c>
      <c r="J333" s="33">
        <v>7</v>
      </c>
      <c r="K333" s="36"/>
      <c r="L333" s="115"/>
      <c r="M333" s="115"/>
      <c r="N333" s="115"/>
      <c r="O333" s="115"/>
    </row>
    <row r="334" spans="1:15" ht="18.75" customHeight="1" thickBot="1" x14ac:dyDescent="0.25">
      <c r="A334" s="238"/>
      <c r="B334" s="228"/>
      <c r="C334" s="37"/>
      <c r="D334" s="38" t="s">
        <v>7</v>
      </c>
      <c r="E334" s="39"/>
      <c r="F334" s="40">
        <v>7</v>
      </c>
      <c r="G334" s="231"/>
      <c r="H334" s="41"/>
      <c r="I334" s="42" t="s">
        <v>10</v>
      </c>
      <c r="J334" s="40">
        <v>7</v>
      </c>
      <c r="K334" s="43"/>
      <c r="L334" s="115"/>
      <c r="M334" s="115"/>
      <c r="N334" s="115"/>
      <c r="O334" s="115"/>
    </row>
    <row r="335" spans="1:15" ht="18" customHeight="1" x14ac:dyDescent="0.2">
      <c r="A335" s="237">
        <v>45551</v>
      </c>
      <c r="B335" s="232" t="s">
        <v>13</v>
      </c>
      <c r="C335" s="44"/>
      <c r="D335" s="44" t="s">
        <v>7</v>
      </c>
      <c r="E335" s="45"/>
      <c r="F335" s="46">
        <v>7</v>
      </c>
      <c r="G335" s="185" t="s">
        <v>13</v>
      </c>
      <c r="H335" s="47"/>
      <c r="I335" s="47" t="s">
        <v>10</v>
      </c>
      <c r="J335" s="46">
        <v>7</v>
      </c>
      <c r="K335" s="48"/>
      <c r="L335" s="115"/>
      <c r="M335" s="115"/>
      <c r="N335" s="115"/>
      <c r="O335" s="115"/>
    </row>
    <row r="336" spans="1:15" ht="18" customHeight="1" x14ac:dyDescent="0.2">
      <c r="A336" s="238"/>
      <c r="B336" s="233"/>
      <c r="C336" s="49"/>
      <c r="D336" s="44" t="s">
        <v>7</v>
      </c>
      <c r="E336" s="45"/>
      <c r="F336" s="46">
        <v>7</v>
      </c>
      <c r="G336" s="235"/>
      <c r="H336" s="50"/>
      <c r="I336" s="51" t="s">
        <v>10</v>
      </c>
      <c r="J336" s="46">
        <v>7</v>
      </c>
      <c r="K336" s="52"/>
      <c r="L336" s="115"/>
      <c r="M336" s="115"/>
      <c r="N336" s="115"/>
      <c r="O336" s="115"/>
    </row>
    <row r="337" spans="1:15" ht="18" customHeight="1" x14ac:dyDescent="0.2">
      <c r="A337" s="238"/>
      <c r="B337" s="233"/>
      <c r="C337" s="49"/>
      <c r="D337" s="44" t="s">
        <v>7</v>
      </c>
      <c r="E337" s="45"/>
      <c r="F337" s="46">
        <v>7</v>
      </c>
      <c r="G337" s="235"/>
      <c r="H337" s="50"/>
      <c r="I337" s="51" t="s">
        <v>10</v>
      </c>
      <c r="J337" s="46">
        <v>7</v>
      </c>
      <c r="K337" s="52"/>
      <c r="L337" s="115"/>
      <c r="M337" s="115"/>
      <c r="N337" s="115"/>
      <c r="O337" s="115"/>
    </row>
    <row r="338" spans="1:15" ht="18.75" customHeight="1" thickBot="1" x14ac:dyDescent="0.25">
      <c r="A338" s="238"/>
      <c r="B338" s="234"/>
      <c r="C338" s="53"/>
      <c r="D338" s="54" t="s">
        <v>7</v>
      </c>
      <c r="E338" s="55"/>
      <c r="F338" s="56">
        <v>7</v>
      </c>
      <c r="G338" s="236"/>
      <c r="H338" s="57"/>
      <c r="I338" s="58" t="s">
        <v>10</v>
      </c>
      <c r="J338" s="56">
        <v>7</v>
      </c>
      <c r="K338" s="59"/>
      <c r="L338" s="115"/>
      <c r="M338" s="115"/>
      <c r="N338" s="115"/>
      <c r="O338" s="115"/>
    </row>
    <row r="339" spans="1:15" ht="18" customHeight="1" x14ac:dyDescent="0.2">
      <c r="A339" s="237">
        <v>45552</v>
      </c>
      <c r="B339" s="202" t="s">
        <v>14</v>
      </c>
      <c r="C339" s="60"/>
      <c r="D339" s="60" t="s">
        <v>7</v>
      </c>
      <c r="E339" s="61"/>
      <c r="F339" s="62">
        <v>7</v>
      </c>
      <c r="G339" s="205" t="s">
        <v>14</v>
      </c>
      <c r="H339" s="44"/>
      <c r="I339" s="44" t="s">
        <v>10</v>
      </c>
      <c r="J339" s="62">
        <v>7</v>
      </c>
      <c r="K339" s="45"/>
      <c r="L339" s="115"/>
      <c r="M339" s="115"/>
      <c r="N339" s="115"/>
      <c r="O339" s="115"/>
    </row>
    <row r="340" spans="1:15" ht="18" customHeight="1" x14ac:dyDescent="0.2">
      <c r="A340" s="238"/>
      <c r="B340" s="203"/>
      <c r="C340" s="63"/>
      <c r="D340" s="64" t="s">
        <v>7</v>
      </c>
      <c r="E340" s="65"/>
      <c r="F340" s="66">
        <v>7</v>
      </c>
      <c r="G340" s="206"/>
      <c r="H340" s="49"/>
      <c r="I340" s="44" t="s">
        <v>10</v>
      </c>
      <c r="J340" s="66">
        <v>7</v>
      </c>
      <c r="K340" s="67"/>
      <c r="L340" s="115"/>
      <c r="M340" s="115"/>
      <c r="N340" s="115"/>
      <c r="O340" s="115"/>
    </row>
    <row r="341" spans="1:15" ht="18" customHeight="1" x14ac:dyDescent="0.2">
      <c r="A341" s="238"/>
      <c r="B341" s="203"/>
      <c r="C341" s="63"/>
      <c r="D341" s="64" t="s">
        <v>7</v>
      </c>
      <c r="E341" s="65"/>
      <c r="F341" s="66">
        <v>7</v>
      </c>
      <c r="G341" s="206"/>
      <c r="H341" s="49"/>
      <c r="I341" s="44" t="s">
        <v>10</v>
      </c>
      <c r="J341" s="66">
        <v>7</v>
      </c>
      <c r="K341" s="67"/>
      <c r="L341" s="115"/>
      <c r="M341" s="115"/>
      <c r="N341" s="115"/>
      <c r="O341" s="115"/>
    </row>
    <row r="342" spans="1:15" ht="18.75" customHeight="1" thickBot="1" x14ac:dyDescent="0.25">
      <c r="A342" s="238"/>
      <c r="B342" s="204"/>
      <c r="C342" s="68"/>
      <c r="D342" s="69" t="s">
        <v>7</v>
      </c>
      <c r="E342" s="70"/>
      <c r="F342" s="71">
        <v>7</v>
      </c>
      <c r="G342" s="207"/>
      <c r="H342" s="53"/>
      <c r="I342" s="54" t="s">
        <v>10</v>
      </c>
      <c r="J342" s="71">
        <v>7</v>
      </c>
      <c r="K342" s="72"/>
      <c r="L342" s="115"/>
      <c r="M342" s="115"/>
      <c r="N342" s="115"/>
      <c r="O342" s="115"/>
    </row>
    <row r="343" spans="1:15" ht="18" customHeight="1" x14ac:dyDescent="0.2">
      <c r="A343" s="237">
        <v>45553</v>
      </c>
      <c r="B343" s="208" t="s">
        <v>15</v>
      </c>
      <c r="C343" s="16"/>
      <c r="D343" s="16" t="s">
        <v>7</v>
      </c>
      <c r="E343" s="73"/>
      <c r="F343" s="74">
        <v>7</v>
      </c>
      <c r="G343" s="211" t="s">
        <v>15</v>
      </c>
      <c r="H343" s="75"/>
      <c r="I343" s="75" t="s">
        <v>10</v>
      </c>
      <c r="J343" s="74">
        <v>7</v>
      </c>
      <c r="K343" s="76"/>
      <c r="L343" s="115"/>
      <c r="M343" s="115"/>
      <c r="N343" s="115"/>
      <c r="O343" s="115"/>
    </row>
    <row r="344" spans="1:15" ht="18" customHeight="1" x14ac:dyDescent="0.2">
      <c r="A344" s="238"/>
      <c r="B344" s="209"/>
      <c r="C344" s="15"/>
      <c r="D344" s="16" t="s">
        <v>7</v>
      </c>
      <c r="E344" s="73"/>
      <c r="F344" s="74">
        <v>7</v>
      </c>
      <c r="G344" s="212"/>
      <c r="H344" s="77"/>
      <c r="I344" s="78" t="s">
        <v>10</v>
      </c>
      <c r="J344" s="74">
        <v>7</v>
      </c>
      <c r="K344" s="79"/>
      <c r="L344" s="115"/>
      <c r="M344" s="115"/>
      <c r="N344" s="115"/>
      <c r="O344" s="115"/>
    </row>
    <row r="345" spans="1:15" ht="18" customHeight="1" x14ac:dyDescent="0.2">
      <c r="A345" s="238"/>
      <c r="B345" s="209"/>
      <c r="C345" s="15"/>
      <c r="D345" s="16" t="s">
        <v>7</v>
      </c>
      <c r="E345" s="73"/>
      <c r="F345" s="74">
        <v>7</v>
      </c>
      <c r="G345" s="212"/>
      <c r="H345" s="77"/>
      <c r="I345" s="78" t="s">
        <v>10</v>
      </c>
      <c r="J345" s="74">
        <v>7</v>
      </c>
      <c r="K345" s="79"/>
      <c r="L345" s="115"/>
      <c r="M345" s="115"/>
      <c r="N345" s="115"/>
      <c r="O345" s="115"/>
    </row>
    <row r="346" spans="1:15" ht="18.75" customHeight="1" thickBot="1" x14ac:dyDescent="0.25">
      <c r="A346" s="238"/>
      <c r="B346" s="210"/>
      <c r="C346" s="80"/>
      <c r="D346" s="81" t="s">
        <v>7</v>
      </c>
      <c r="E346" s="82"/>
      <c r="F346" s="83">
        <v>7</v>
      </c>
      <c r="G346" s="213"/>
      <c r="H346" s="84"/>
      <c r="I346" s="85" t="s">
        <v>10</v>
      </c>
      <c r="J346" s="83">
        <v>7</v>
      </c>
      <c r="K346" s="86"/>
      <c r="L346" s="115"/>
      <c r="M346" s="115"/>
      <c r="N346" s="115"/>
      <c r="O346" s="115"/>
    </row>
    <row r="347" spans="1:15" ht="18" customHeight="1" x14ac:dyDescent="0.2">
      <c r="A347" s="237">
        <v>45554</v>
      </c>
      <c r="B347" s="214" t="s">
        <v>16</v>
      </c>
      <c r="C347" s="87"/>
      <c r="D347" s="87" t="s">
        <v>7</v>
      </c>
      <c r="E347" s="88"/>
      <c r="F347" s="89">
        <v>7</v>
      </c>
      <c r="G347" s="217" t="s">
        <v>16</v>
      </c>
      <c r="H347" s="90"/>
      <c r="I347" s="90" t="s">
        <v>10</v>
      </c>
      <c r="J347" s="89">
        <v>0</v>
      </c>
      <c r="K347" s="91"/>
      <c r="L347" s="115"/>
      <c r="M347" s="115"/>
      <c r="N347" s="115"/>
      <c r="O347" s="115"/>
    </row>
    <row r="348" spans="1:15" ht="18" customHeight="1" x14ac:dyDescent="0.2">
      <c r="A348" s="238"/>
      <c r="B348" s="215"/>
      <c r="C348" s="92"/>
      <c r="D348" s="93" t="s">
        <v>7</v>
      </c>
      <c r="E348" s="94"/>
      <c r="F348" s="95">
        <v>7</v>
      </c>
      <c r="G348" s="218"/>
      <c r="H348" s="96"/>
      <c r="I348" s="97" t="s">
        <v>10</v>
      </c>
      <c r="J348" s="95">
        <v>7</v>
      </c>
      <c r="K348" s="98"/>
      <c r="L348" s="115"/>
      <c r="M348" s="115"/>
      <c r="N348" s="115"/>
      <c r="O348" s="115"/>
    </row>
    <row r="349" spans="1:15" ht="18" customHeight="1" x14ac:dyDescent="0.2">
      <c r="A349" s="238"/>
      <c r="B349" s="215"/>
      <c r="C349" s="92"/>
      <c r="D349" s="93" t="s">
        <v>7</v>
      </c>
      <c r="E349" s="94"/>
      <c r="F349" s="95">
        <v>7</v>
      </c>
      <c r="G349" s="218"/>
      <c r="H349" s="96"/>
      <c r="I349" s="97" t="s">
        <v>10</v>
      </c>
      <c r="J349" s="95">
        <v>7</v>
      </c>
      <c r="K349" s="98"/>
      <c r="L349" s="115"/>
      <c r="M349" s="115"/>
      <c r="N349" s="115"/>
      <c r="O349" s="115"/>
    </row>
    <row r="350" spans="1:15" ht="18.75" customHeight="1" thickBot="1" x14ac:dyDescent="0.25">
      <c r="A350" s="238"/>
      <c r="B350" s="216"/>
      <c r="C350" s="99"/>
      <c r="D350" s="100" t="s">
        <v>7</v>
      </c>
      <c r="E350" s="101"/>
      <c r="F350" s="102">
        <v>7</v>
      </c>
      <c r="G350" s="219"/>
      <c r="H350" s="103"/>
      <c r="I350" s="104" t="s">
        <v>10</v>
      </c>
      <c r="J350" s="102">
        <v>7</v>
      </c>
      <c r="K350" s="105"/>
      <c r="L350" s="115"/>
      <c r="M350" s="115"/>
      <c r="N350" s="115"/>
      <c r="O350" s="115"/>
    </row>
    <row r="351" spans="1:15" ht="23.25" x14ac:dyDescent="0.35">
      <c r="A351" s="118"/>
      <c r="B351" s="106"/>
      <c r="C351" s="107"/>
      <c r="D351" s="194" t="s">
        <v>20</v>
      </c>
      <c r="E351" s="195"/>
      <c r="F351" s="108">
        <f>SUM(F327:F350)</f>
        <v>168</v>
      </c>
      <c r="G351" s="107"/>
      <c r="H351" s="185" t="s">
        <v>20</v>
      </c>
      <c r="I351" s="186"/>
      <c r="J351" s="108">
        <f>SUM(J327:J350)</f>
        <v>161</v>
      </c>
      <c r="K351" s="109"/>
      <c r="L351" s="115"/>
      <c r="M351" s="115"/>
      <c r="N351" s="115"/>
      <c r="O351" s="115"/>
    </row>
    <row r="352" spans="1:15" ht="24" thickBot="1" x14ac:dyDescent="0.4">
      <c r="A352" s="119"/>
      <c r="B352" s="110"/>
      <c r="C352" s="111"/>
      <c r="D352" s="187" t="s">
        <v>21</v>
      </c>
      <c r="E352" s="188"/>
      <c r="F352" s="112">
        <f>F351/240*1</f>
        <v>0.7</v>
      </c>
      <c r="G352" s="111"/>
      <c r="H352" s="189" t="s">
        <v>22</v>
      </c>
      <c r="I352" s="190"/>
      <c r="J352" s="113">
        <f>J351/240*1</f>
        <v>0.67083333333333328</v>
      </c>
      <c r="K352" s="114"/>
      <c r="L352" s="115"/>
      <c r="M352" s="115"/>
      <c r="N352" s="115"/>
      <c r="O352" s="115"/>
    </row>
    <row r="353" spans="1:15" ht="24" thickBot="1" x14ac:dyDescent="0.4">
      <c r="A353" s="120">
        <v>13</v>
      </c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</row>
    <row r="354" spans="1:15" ht="21" thickBot="1" x14ac:dyDescent="0.35">
      <c r="A354" s="244" t="s">
        <v>25</v>
      </c>
      <c r="B354" s="191" t="s">
        <v>0</v>
      </c>
      <c r="C354" s="192"/>
      <c r="D354" s="192"/>
      <c r="E354" s="192"/>
      <c r="F354" s="192"/>
      <c r="G354" s="192"/>
      <c r="H354" s="192"/>
      <c r="I354" s="192"/>
      <c r="J354" s="192"/>
      <c r="K354" s="193"/>
      <c r="L354" s="115"/>
      <c r="M354" s="115"/>
      <c r="N354" s="115"/>
      <c r="O354" s="115"/>
    </row>
    <row r="355" spans="1:15" ht="21" thickBot="1" x14ac:dyDescent="0.35">
      <c r="A355" s="245"/>
      <c r="B355" s="196" t="s">
        <v>17</v>
      </c>
      <c r="C355" s="197"/>
      <c r="D355" s="197"/>
      <c r="E355" s="197"/>
      <c r="F355" s="198"/>
      <c r="G355" s="199" t="s">
        <v>1</v>
      </c>
      <c r="H355" s="200"/>
      <c r="I355" s="200"/>
      <c r="J355" s="200"/>
      <c r="K355" s="201"/>
      <c r="L355" s="115"/>
      <c r="M355" s="115"/>
      <c r="N355" s="115"/>
      <c r="O355" s="115"/>
    </row>
    <row r="356" spans="1:15" ht="41.25" thickBot="1" x14ac:dyDescent="0.25">
      <c r="A356" s="246"/>
      <c r="B356" s="2" t="s">
        <v>2</v>
      </c>
      <c r="C356" s="3" t="s">
        <v>6</v>
      </c>
      <c r="D356" s="3" t="s">
        <v>7</v>
      </c>
      <c r="E356" s="3" t="s">
        <v>8</v>
      </c>
      <c r="F356" s="4" t="s">
        <v>19</v>
      </c>
      <c r="G356" s="5" t="s">
        <v>2</v>
      </c>
      <c r="H356" s="6" t="s">
        <v>3</v>
      </c>
      <c r="I356" s="6" t="s">
        <v>4</v>
      </c>
      <c r="J356" s="7" t="s">
        <v>18</v>
      </c>
      <c r="K356" s="8" t="s">
        <v>5</v>
      </c>
      <c r="L356" s="115"/>
      <c r="M356" s="115"/>
      <c r="N356" s="115"/>
      <c r="O356" s="115"/>
    </row>
    <row r="357" spans="1:15" ht="18" x14ac:dyDescent="0.2">
      <c r="A357" s="237">
        <v>45556</v>
      </c>
      <c r="B357" s="220" t="s">
        <v>9</v>
      </c>
      <c r="C357" s="9"/>
      <c r="D357" s="9" t="s">
        <v>7</v>
      </c>
      <c r="E357" s="10"/>
      <c r="F357" s="11">
        <v>7</v>
      </c>
      <c r="G357" s="223" t="s">
        <v>9</v>
      </c>
      <c r="H357" s="12"/>
      <c r="I357" s="12" t="s">
        <v>10</v>
      </c>
      <c r="J357" s="11">
        <v>7</v>
      </c>
      <c r="K357" s="13"/>
      <c r="L357" s="115"/>
      <c r="M357" s="115"/>
      <c r="N357" s="115"/>
      <c r="O357" s="115"/>
    </row>
    <row r="358" spans="1:15" ht="18" x14ac:dyDescent="0.2">
      <c r="A358" s="238"/>
      <c r="B358" s="221"/>
      <c r="C358" s="14"/>
      <c r="D358" s="9" t="s">
        <v>7</v>
      </c>
      <c r="E358" s="10"/>
      <c r="F358" s="11">
        <v>7</v>
      </c>
      <c r="G358" s="224"/>
      <c r="H358" s="15"/>
      <c r="I358" s="16" t="s">
        <v>10</v>
      </c>
      <c r="J358" s="11">
        <v>7</v>
      </c>
      <c r="K358" s="17"/>
      <c r="L358" s="115"/>
      <c r="M358" s="115"/>
      <c r="N358" s="115"/>
      <c r="O358" s="115"/>
    </row>
    <row r="359" spans="1:15" ht="18" x14ac:dyDescent="0.2">
      <c r="A359" s="238"/>
      <c r="B359" s="221"/>
      <c r="C359" s="14"/>
      <c r="D359" s="9" t="s">
        <v>7</v>
      </c>
      <c r="E359" s="10"/>
      <c r="F359" s="11">
        <v>7</v>
      </c>
      <c r="G359" s="224"/>
      <c r="H359" s="15"/>
      <c r="I359" s="16" t="s">
        <v>10</v>
      </c>
      <c r="J359" s="11">
        <v>7</v>
      </c>
      <c r="K359" s="17"/>
      <c r="L359" s="115"/>
      <c r="M359" s="115"/>
      <c r="N359" s="115"/>
      <c r="O359" s="115"/>
    </row>
    <row r="360" spans="1:15" ht="18.75" thickBot="1" x14ac:dyDescent="0.25">
      <c r="A360" s="238"/>
      <c r="B360" s="222"/>
      <c r="C360" s="18"/>
      <c r="D360" s="19" t="s">
        <v>7</v>
      </c>
      <c r="E360" s="20"/>
      <c r="F360" s="21">
        <v>7</v>
      </c>
      <c r="G360" s="225"/>
      <c r="H360" s="22"/>
      <c r="I360" s="23" t="s">
        <v>10</v>
      </c>
      <c r="J360" s="21">
        <v>7</v>
      </c>
      <c r="K360" s="24"/>
      <c r="L360" s="115"/>
      <c r="M360" s="115"/>
      <c r="N360" s="115"/>
      <c r="O360" s="115"/>
    </row>
    <row r="361" spans="1:15" ht="18" customHeight="1" x14ac:dyDescent="0.2">
      <c r="A361" s="237">
        <v>45557</v>
      </c>
      <c r="B361" s="226" t="s">
        <v>12</v>
      </c>
      <c r="C361" s="25"/>
      <c r="D361" s="25" t="s">
        <v>7</v>
      </c>
      <c r="E361" s="26"/>
      <c r="F361" s="27">
        <v>7</v>
      </c>
      <c r="G361" s="229" t="s">
        <v>12</v>
      </c>
      <c r="H361" s="28"/>
      <c r="I361" s="28" t="s">
        <v>10</v>
      </c>
      <c r="J361" s="27">
        <v>7</v>
      </c>
      <c r="K361" s="29"/>
      <c r="L361" s="115"/>
      <c r="M361" s="115"/>
      <c r="N361" s="115"/>
      <c r="O361" s="115"/>
    </row>
    <row r="362" spans="1:15" ht="18" customHeight="1" x14ac:dyDescent="0.2">
      <c r="A362" s="238"/>
      <c r="B362" s="227"/>
      <c r="C362" s="30"/>
      <c r="D362" s="31" t="s">
        <v>7</v>
      </c>
      <c r="E362" s="32"/>
      <c r="F362" s="33">
        <v>7</v>
      </c>
      <c r="G362" s="230"/>
      <c r="H362" s="34"/>
      <c r="I362" s="35" t="s">
        <v>10</v>
      </c>
      <c r="J362" s="33">
        <v>7</v>
      </c>
      <c r="K362" s="36"/>
      <c r="L362" s="115"/>
      <c r="M362" s="115"/>
      <c r="N362" s="115"/>
      <c r="O362" s="115"/>
    </row>
    <row r="363" spans="1:15" ht="18" customHeight="1" x14ac:dyDescent="0.2">
      <c r="A363" s="238"/>
      <c r="B363" s="227"/>
      <c r="C363" s="30"/>
      <c r="D363" s="31" t="s">
        <v>7</v>
      </c>
      <c r="E363" s="32"/>
      <c r="F363" s="33">
        <v>7</v>
      </c>
      <c r="G363" s="230"/>
      <c r="H363" s="34"/>
      <c r="I363" s="35" t="s">
        <v>10</v>
      </c>
      <c r="J363" s="33">
        <v>7</v>
      </c>
      <c r="K363" s="36"/>
      <c r="L363" s="115"/>
      <c r="M363" s="115"/>
      <c r="N363" s="115"/>
      <c r="O363" s="115"/>
    </row>
    <row r="364" spans="1:15" ht="18.75" customHeight="1" thickBot="1" x14ac:dyDescent="0.25">
      <c r="A364" s="238"/>
      <c r="B364" s="228"/>
      <c r="C364" s="37"/>
      <c r="D364" s="38" t="s">
        <v>7</v>
      </c>
      <c r="E364" s="39"/>
      <c r="F364" s="40">
        <v>7</v>
      </c>
      <c r="G364" s="231"/>
      <c r="H364" s="41"/>
      <c r="I364" s="42" t="s">
        <v>10</v>
      </c>
      <c r="J364" s="40">
        <v>7</v>
      </c>
      <c r="K364" s="43"/>
      <c r="L364" s="115"/>
      <c r="M364" s="115"/>
      <c r="N364" s="115"/>
      <c r="O364" s="115"/>
    </row>
    <row r="365" spans="1:15" ht="18" customHeight="1" x14ac:dyDescent="0.2">
      <c r="A365" s="237">
        <v>45558</v>
      </c>
      <c r="B365" s="232" t="s">
        <v>13</v>
      </c>
      <c r="C365" s="44"/>
      <c r="D365" s="44" t="s">
        <v>7</v>
      </c>
      <c r="E365" s="45"/>
      <c r="F365" s="46">
        <v>7</v>
      </c>
      <c r="G365" s="185" t="s">
        <v>13</v>
      </c>
      <c r="H365" s="47"/>
      <c r="I365" s="47" t="s">
        <v>10</v>
      </c>
      <c r="J365" s="46">
        <v>7</v>
      </c>
      <c r="K365" s="48"/>
      <c r="L365" s="115"/>
      <c r="M365" s="115"/>
      <c r="N365" s="115"/>
      <c r="O365" s="115"/>
    </row>
    <row r="366" spans="1:15" ht="18" customHeight="1" x14ac:dyDescent="0.2">
      <c r="A366" s="238"/>
      <c r="B366" s="233"/>
      <c r="C366" s="49"/>
      <c r="D366" s="44" t="s">
        <v>7</v>
      </c>
      <c r="E366" s="45"/>
      <c r="F366" s="46">
        <v>7</v>
      </c>
      <c r="G366" s="235"/>
      <c r="H366" s="50"/>
      <c r="I366" s="51" t="s">
        <v>10</v>
      </c>
      <c r="J366" s="46">
        <v>7</v>
      </c>
      <c r="K366" s="52"/>
      <c r="L366" s="115"/>
      <c r="M366" s="115"/>
      <c r="N366" s="115"/>
      <c r="O366" s="115"/>
    </row>
    <row r="367" spans="1:15" ht="18" customHeight="1" x14ac:dyDescent="0.2">
      <c r="A367" s="238"/>
      <c r="B367" s="233"/>
      <c r="C367" s="49"/>
      <c r="D367" s="44" t="s">
        <v>7</v>
      </c>
      <c r="E367" s="45"/>
      <c r="F367" s="46">
        <v>7</v>
      </c>
      <c r="G367" s="235"/>
      <c r="H367" s="50"/>
      <c r="I367" s="51" t="s">
        <v>10</v>
      </c>
      <c r="J367" s="46">
        <v>7</v>
      </c>
      <c r="K367" s="52"/>
      <c r="L367" s="115"/>
      <c r="M367" s="115"/>
      <c r="N367" s="115"/>
      <c r="O367" s="115"/>
    </row>
    <row r="368" spans="1:15" ht="18.75" customHeight="1" thickBot="1" x14ac:dyDescent="0.25">
      <c r="A368" s="238"/>
      <c r="B368" s="234"/>
      <c r="C368" s="53"/>
      <c r="D368" s="54" t="s">
        <v>7</v>
      </c>
      <c r="E368" s="55"/>
      <c r="F368" s="56">
        <v>7</v>
      </c>
      <c r="G368" s="236"/>
      <c r="H368" s="57"/>
      <c r="I368" s="58" t="s">
        <v>10</v>
      </c>
      <c r="J368" s="56">
        <v>7</v>
      </c>
      <c r="K368" s="59"/>
      <c r="L368" s="115"/>
      <c r="M368" s="115"/>
      <c r="N368" s="115"/>
      <c r="O368" s="115"/>
    </row>
    <row r="369" spans="1:15" ht="18" customHeight="1" x14ac:dyDescent="0.2">
      <c r="A369" s="237">
        <v>45559</v>
      </c>
      <c r="B369" s="202" t="s">
        <v>14</v>
      </c>
      <c r="C369" s="60"/>
      <c r="D369" s="60" t="s">
        <v>7</v>
      </c>
      <c r="E369" s="61"/>
      <c r="F369" s="62">
        <v>7</v>
      </c>
      <c r="G369" s="205" t="s">
        <v>14</v>
      </c>
      <c r="H369" s="44"/>
      <c r="I369" s="44" t="s">
        <v>10</v>
      </c>
      <c r="J369" s="62">
        <v>7</v>
      </c>
      <c r="K369" s="45"/>
      <c r="L369" s="115"/>
      <c r="M369" s="115"/>
      <c r="N369" s="115"/>
      <c r="O369" s="115"/>
    </row>
    <row r="370" spans="1:15" ht="18" customHeight="1" x14ac:dyDescent="0.2">
      <c r="A370" s="238"/>
      <c r="B370" s="203"/>
      <c r="C370" s="63"/>
      <c r="D370" s="64" t="s">
        <v>7</v>
      </c>
      <c r="E370" s="65"/>
      <c r="F370" s="66">
        <v>7</v>
      </c>
      <c r="G370" s="206"/>
      <c r="H370" s="49"/>
      <c r="I370" s="44" t="s">
        <v>10</v>
      </c>
      <c r="J370" s="66">
        <v>7</v>
      </c>
      <c r="K370" s="67"/>
      <c r="L370" s="115"/>
      <c r="M370" s="115"/>
      <c r="N370" s="115"/>
      <c r="O370" s="115"/>
    </row>
    <row r="371" spans="1:15" ht="18" customHeight="1" x14ac:dyDescent="0.2">
      <c r="A371" s="238"/>
      <c r="B371" s="203"/>
      <c r="C371" s="63"/>
      <c r="D371" s="64" t="s">
        <v>7</v>
      </c>
      <c r="E371" s="65"/>
      <c r="F371" s="66">
        <v>7</v>
      </c>
      <c r="G371" s="206"/>
      <c r="H371" s="49"/>
      <c r="I371" s="44" t="s">
        <v>10</v>
      </c>
      <c r="J371" s="66">
        <v>7</v>
      </c>
      <c r="K371" s="67"/>
      <c r="L371" s="115"/>
      <c r="M371" s="115"/>
      <c r="N371" s="115"/>
      <c r="O371" s="115"/>
    </row>
    <row r="372" spans="1:15" ht="18.75" customHeight="1" thickBot="1" x14ac:dyDescent="0.25">
      <c r="A372" s="238"/>
      <c r="B372" s="204"/>
      <c r="C372" s="68"/>
      <c r="D372" s="69" t="s">
        <v>7</v>
      </c>
      <c r="E372" s="70"/>
      <c r="F372" s="71">
        <v>7</v>
      </c>
      <c r="G372" s="207"/>
      <c r="H372" s="53"/>
      <c r="I372" s="54" t="s">
        <v>10</v>
      </c>
      <c r="J372" s="71">
        <v>7</v>
      </c>
      <c r="K372" s="72"/>
      <c r="L372" s="115"/>
      <c r="M372" s="115"/>
      <c r="N372" s="115"/>
      <c r="O372" s="115"/>
    </row>
    <row r="373" spans="1:15" ht="18" customHeight="1" x14ac:dyDescent="0.2">
      <c r="A373" s="237">
        <v>45560</v>
      </c>
      <c r="B373" s="208" t="s">
        <v>15</v>
      </c>
      <c r="C373" s="16"/>
      <c r="D373" s="16" t="s">
        <v>7</v>
      </c>
      <c r="E373" s="73"/>
      <c r="F373" s="74">
        <v>7</v>
      </c>
      <c r="G373" s="211" t="s">
        <v>15</v>
      </c>
      <c r="H373" s="75"/>
      <c r="I373" s="75" t="s">
        <v>10</v>
      </c>
      <c r="J373" s="74">
        <v>7</v>
      </c>
      <c r="K373" s="76"/>
      <c r="L373" s="115"/>
      <c r="M373" s="115"/>
      <c r="N373" s="115"/>
      <c r="O373" s="115"/>
    </row>
    <row r="374" spans="1:15" ht="18" customHeight="1" x14ac:dyDescent="0.2">
      <c r="A374" s="238"/>
      <c r="B374" s="209"/>
      <c r="C374" s="15"/>
      <c r="D374" s="16" t="s">
        <v>7</v>
      </c>
      <c r="E374" s="73"/>
      <c r="F374" s="74">
        <v>7</v>
      </c>
      <c r="G374" s="212"/>
      <c r="H374" s="77"/>
      <c r="I374" s="78" t="s">
        <v>10</v>
      </c>
      <c r="J374" s="74">
        <v>7</v>
      </c>
      <c r="K374" s="79"/>
      <c r="L374" s="115"/>
      <c r="M374" s="115"/>
      <c r="N374" s="115"/>
      <c r="O374" s="115"/>
    </row>
    <row r="375" spans="1:15" ht="18" customHeight="1" x14ac:dyDescent="0.2">
      <c r="A375" s="238"/>
      <c r="B375" s="209"/>
      <c r="C375" s="15"/>
      <c r="D375" s="16" t="s">
        <v>7</v>
      </c>
      <c r="E375" s="73"/>
      <c r="F375" s="74">
        <v>7</v>
      </c>
      <c r="G375" s="212"/>
      <c r="H375" s="77"/>
      <c r="I375" s="78" t="s">
        <v>10</v>
      </c>
      <c r="J375" s="74">
        <v>7</v>
      </c>
      <c r="K375" s="79"/>
      <c r="L375" s="115"/>
      <c r="M375" s="115"/>
      <c r="N375" s="115"/>
      <c r="O375" s="115"/>
    </row>
    <row r="376" spans="1:15" ht="18.75" customHeight="1" thickBot="1" x14ac:dyDescent="0.25">
      <c r="A376" s="238"/>
      <c r="B376" s="210"/>
      <c r="C376" s="80"/>
      <c r="D376" s="81" t="s">
        <v>7</v>
      </c>
      <c r="E376" s="82"/>
      <c r="F376" s="83">
        <v>7</v>
      </c>
      <c r="G376" s="213"/>
      <c r="H376" s="84"/>
      <c r="I376" s="85" t="s">
        <v>10</v>
      </c>
      <c r="J376" s="83">
        <v>7</v>
      </c>
      <c r="K376" s="86"/>
      <c r="L376" s="115"/>
      <c r="M376" s="115"/>
      <c r="N376" s="115"/>
      <c r="O376" s="115"/>
    </row>
    <row r="377" spans="1:15" ht="18" customHeight="1" x14ac:dyDescent="0.2">
      <c r="A377" s="237">
        <v>45561</v>
      </c>
      <c r="B377" s="214" t="s">
        <v>16</v>
      </c>
      <c r="C377" s="87"/>
      <c r="D377" s="87" t="s">
        <v>7</v>
      </c>
      <c r="E377" s="88"/>
      <c r="F377" s="89">
        <v>7</v>
      </c>
      <c r="G377" s="217" t="s">
        <v>16</v>
      </c>
      <c r="H377" s="90"/>
      <c r="I377" s="90" t="s">
        <v>10</v>
      </c>
      <c r="J377" s="89">
        <v>0</v>
      </c>
      <c r="K377" s="91"/>
      <c r="L377" s="115"/>
      <c r="M377" s="115"/>
      <c r="N377" s="115"/>
      <c r="O377" s="115"/>
    </row>
    <row r="378" spans="1:15" ht="18" customHeight="1" x14ac:dyDescent="0.2">
      <c r="A378" s="238"/>
      <c r="B378" s="215"/>
      <c r="C378" s="92"/>
      <c r="D378" s="93" t="s">
        <v>7</v>
      </c>
      <c r="E378" s="94"/>
      <c r="F378" s="95">
        <v>7</v>
      </c>
      <c r="G378" s="218"/>
      <c r="H378" s="96"/>
      <c r="I378" s="97" t="s">
        <v>10</v>
      </c>
      <c r="J378" s="95">
        <v>7</v>
      </c>
      <c r="K378" s="98"/>
      <c r="L378" s="115"/>
      <c r="M378" s="115"/>
      <c r="N378" s="115"/>
      <c r="O378" s="115"/>
    </row>
    <row r="379" spans="1:15" ht="18" customHeight="1" x14ac:dyDescent="0.2">
      <c r="A379" s="238"/>
      <c r="B379" s="215"/>
      <c r="C379" s="92"/>
      <c r="D379" s="93" t="s">
        <v>7</v>
      </c>
      <c r="E379" s="94"/>
      <c r="F379" s="95">
        <v>7</v>
      </c>
      <c r="G379" s="218"/>
      <c r="H379" s="96"/>
      <c r="I379" s="97" t="s">
        <v>10</v>
      </c>
      <c r="J379" s="95">
        <v>7</v>
      </c>
      <c r="K379" s="98"/>
      <c r="L379" s="115"/>
      <c r="M379" s="115"/>
      <c r="N379" s="115"/>
      <c r="O379" s="115"/>
    </row>
    <row r="380" spans="1:15" ht="18.75" customHeight="1" thickBot="1" x14ac:dyDescent="0.25">
      <c r="A380" s="238"/>
      <c r="B380" s="216"/>
      <c r="C380" s="99"/>
      <c r="D380" s="100" t="s">
        <v>7</v>
      </c>
      <c r="E380" s="101"/>
      <c r="F380" s="102">
        <v>7</v>
      </c>
      <c r="G380" s="219"/>
      <c r="H380" s="103"/>
      <c r="I380" s="104" t="s">
        <v>10</v>
      </c>
      <c r="J380" s="102">
        <v>7</v>
      </c>
      <c r="K380" s="105"/>
      <c r="L380" s="115"/>
      <c r="M380" s="115"/>
      <c r="N380" s="115"/>
      <c r="O380" s="115"/>
    </row>
    <row r="381" spans="1:15" ht="23.25" x14ac:dyDescent="0.35">
      <c r="A381" s="118"/>
      <c r="B381" s="106"/>
      <c r="C381" s="107"/>
      <c r="D381" s="194" t="s">
        <v>20</v>
      </c>
      <c r="E381" s="195"/>
      <c r="F381" s="108">
        <f>SUM(F357:F380)</f>
        <v>168</v>
      </c>
      <c r="G381" s="107"/>
      <c r="H381" s="185" t="s">
        <v>20</v>
      </c>
      <c r="I381" s="186"/>
      <c r="J381" s="108">
        <f>SUM(J357:J380)</f>
        <v>161</v>
      </c>
      <c r="K381" s="109"/>
      <c r="L381" s="115"/>
      <c r="M381" s="115"/>
      <c r="N381" s="115"/>
      <c r="O381" s="115"/>
    </row>
    <row r="382" spans="1:15" ht="24" thickBot="1" x14ac:dyDescent="0.4">
      <c r="A382" s="119"/>
      <c r="B382" s="110"/>
      <c r="C382" s="111"/>
      <c r="D382" s="187" t="s">
        <v>21</v>
      </c>
      <c r="E382" s="188"/>
      <c r="F382" s="112">
        <f>F381/240*1</f>
        <v>0.7</v>
      </c>
      <c r="G382" s="111"/>
      <c r="H382" s="189" t="s">
        <v>22</v>
      </c>
      <c r="I382" s="190"/>
      <c r="J382" s="113">
        <f>J381/240*1</f>
        <v>0.67083333333333328</v>
      </c>
      <c r="K382" s="114"/>
      <c r="L382" s="115"/>
      <c r="M382" s="115"/>
      <c r="N382" s="115"/>
      <c r="O382" s="115"/>
    </row>
    <row r="383" spans="1:15" ht="24" thickBot="1" x14ac:dyDescent="0.4">
      <c r="A383" s="120">
        <v>14</v>
      </c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</row>
    <row r="384" spans="1:15" ht="21" thickBot="1" x14ac:dyDescent="0.35">
      <c r="A384" s="244" t="s">
        <v>25</v>
      </c>
      <c r="B384" s="191" t="s">
        <v>0</v>
      </c>
      <c r="C384" s="192"/>
      <c r="D384" s="192"/>
      <c r="E384" s="192"/>
      <c r="F384" s="192"/>
      <c r="G384" s="192"/>
      <c r="H384" s="192"/>
      <c r="I384" s="192"/>
      <c r="J384" s="192"/>
      <c r="K384" s="193"/>
      <c r="L384" s="115"/>
      <c r="M384" s="115"/>
      <c r="N384" s="115"/>
      <c r="O384" s="115"/>
    </row>
    <row r="385" spans="1:15" ht="21" thickBot="1" x14ac:dyDescent="0.35">
      <c r="A385" s="245"/>
      <c r="B385" s="196" t="s">
        <v>17</v>
      </c>
      <c r="C385" s="197"/>
      <c r="D385" s="197"/>
      <c r="E385" s="197"/>
      <c r="F385" s="198"/>
      <c r="G385" s="199" t="s">
        <v>1</v>
      </c>
      <c r="H385" s="200"/>
      <c r="I385" s="200"/>
      <c r="J385" s="200"/>
      <c r="K385" s="201"/>
      <c r="L385" s="115"/>
      <c r="M385" s="115"/>
      <c r="N385" s="115"/>
      <c r="O385" s="115"/>
    </row>
    <row r="386" spans="1:15" ht="41.25" thickBot="1" x14ac:dyDescent="0.25">
      <c r="A386" s="246"/>
      <c r="B386" s="2" t="s">
        <v>2</v>
      </c>
      <c r="C386" s="3" t="s">
        <v>6</v>
      </c>
      <c r="D386" s="3" t="s">
        <v>7</v>
      </c>
      <c r="E386" s="3" t="s">
        <v>8</v>
      </c>
      <c r="F386" s="4" t="s">
        <v>19</v>
      </c>
      <c r="G386" s="5" t="s">
        <v>2</v>
      </c>
      <c r="H386" s="6" t="s">
        <v>3</v>
      </c>
      <c r="I386" s="6" t="s">
        <v>4</v>
      </c>
      <c r="J386" s="7" t="s">
        <v>18</v>
      </c>
      <c r="K386" s="8" t="s">
        <v>5</v>
      </c>
      <c r="L386" s="115"/>
      <c r="M386" s="115"/>
      <c r="N386" s="115"/>
      <c r="O386" s="115"/>
    </row>
    <row r="387" spans="1:15" ht="18" x14ac:dyDescent="0.2">
      <c r="A387" s="237">
        <v>45563</v>
      </c>
      <c r="B387" s="220" t="s">
        <v>9</v>
      </c>
      <c r="C387" s="9"/>
      <c r="D387" s="9" t="s">
        <v>7</v>
      </c>
      <c r="E387" s="10"/>
      <c r="F387" s="11">
        <v>7</v>
      </c>
      <c r="G387" s="223" t="s">
        <v>9</v>
      </c>
      <c r="H387" s="12"/>
      <c r="I387" s="12" t="s">
        <v>10</v>
      </c>
      <c r="J387" s="11">
        <v>7</v>
      </c>
      <c r="K387" s="13"/>
      <c r="L387" s="115"/>
      <c r="M387" s="115"/>
      <c r="N387" s="115"/>
      <c r="O387" s="115"/>
    </row>
    <row r="388" spans="1:15" ht="18" x14ac:dyDescent="0.2">
      <c r="A388" s="238"/>
      <c r="B388" s="221"/>
      <c r="C388" s="14"/>
      <c r="D388" s="9" t="s">
        <v>7</v>
      </c>
      <c r="E388" s="10"/>
      <c r="F388" s="11">
        <v>7</v>
      </c>
      <c r="G388" s="224"/>
      <c r="H388" s="15"/>
      <c r="I388" s="16" t="s">
        <v>10</v>
      </c>
      <c r="J388" s="11">
        <v>7</v>
      </c>
      <c r="K388" s="17"/>
      <c r="L388" s="115"/>
      <c r="M388" s="115"/>
      <c r="N388" s="115"/>
      <c r="O388" s="115"/>
    </row>
    <row r="389" spans="1:15" ht="18" x14ac:dyDescent="0.2">
      <c r="A389" s="238"/>
      <c r="B389" s="221"/>
      <c r="C389" s="14"/>
      <c r="D389" s="9" t="s">
        <v>7</v>
      </c>
      <c r="E389" s="10"/>
      <c r="F389" s="11">
        <v>7</v>
      </c>
      <c r="G389" s="224"/>
      <c r="H389" s="15"/>
      <c r="I389" s="16" t="s">
        <v>10</v>
      </c>
      <c r="J389" s="11">
        <v>7</v>
      </c>
      <c r="K389" s="17"/>
      <c r="L389" s="115"/>
      <c r="M389" s="115"/>
      <c r="N389" s="115"/>
      <c r="O389" s="115"/>
    </row>
    <row r="390" spans="1:15" ht="18.75" thickBot="1" x14ac:dyDescent="0.25">
      <c r="A390" s="238"/>
      <c r="B390" s="222"/>
      <c r="C390" s="18"/>
      <c r="D390" s="19" t="s">
        <v>7</v>
      </c>
      <c r="E390" s="20"/>
      <c r="F390" s="21">
        <v>7</v>
      </c>
      <c r="G390" s="225"/>
      <c r="H390" s="22"/>
      <c r="I390" s="23" t="s">
        <v>10</v>
      </c>
      <c r="J390" s="21">
        <v>7</v>
      </c>
      <c r="K390" s="24"/>
      <c r="L390" s="115"/>
      <c r="M390" s="115"/>
      <c r="N390" s="115"/>
      <c r="O390" s="115"/>
    </row>
    <row r="391" spans="1:15" ht="18" customHeight="1" x14ac:dyDescent="0.2">
      <c r="A391" s="237">
        <v>45564</v>
      </c>
      <c r="B391" s="226" t="s">
        <v>12</v>
      </c>
      <c r="C391" s="25"/>
      <c r="D391" s="25" t="s">
        <v>7</v>
      </c>
      <c r="E391" s="26"/>
      <c r="F391" s="27">
        <v>7</v>
      </c>
      <c r="G391" s="229" t="s">
        <v>12</v>
      </c>
      <c r="H391" s="28"/>
      <c r="I391" s="28" t="s">
        <v>10</v>
      </c>
      <c r="J391" s="27">
        <v>7</v>
      </c>
      <c r="K391" s="29"/>
      <c r="L391" s="115"/>
      <c r="M391" s="115"/>
      <c r="N391" s="115"/>
      <c r="O391" s="115"/>
    </row>
    <row r="392" spans="1:15" ht="18" customHeight="1" x14ac:dyDescent="0.2">
      <c r="A392" s="238"/>
      <c r="B392" s="227"/>
      <c r="C392" s="30"/>
      <c r="D392" s="31" t="s">
        <v>7</v>
      </c>
      <c r="E392" s="32"/>
      <c r="F392" s="33">
        <v>7</v>
      </c>
      <c r="G392" s="230"/>
      <c r="H392" s="34"/>
      <c r="I392" s="35" t="s">
        <v>10</v>
      </c>
      <c r="J392" s="33">
        <v>7</v>
      </c>
      <c r="K392" s="36"/>
      <c r="L392" s="115"/>
      <c r="M392" s="115"/>
      <c r="N392" s="115"/>
      <c r="O392" s="115"/>
    </row>
    <row r="393" spans="1:15" ht="18" customHeight="1" x14ac:dyDescent="0.2">
      <c r="A393" s="238"/>
      <c r="B393" s="227"/>
      <c r="C393" s="30"/>
      <c r="D393" s="31" t="s">
        <v>7</v>
      </c>
      <c r="E393" s="32"/>
      <c r="F393" s="33">
        <v>7</v>
      </c>
      <c r="G393" s="230"/>
      <c r="H393" s="34"/>
      <c r="I393" s="35" t="s">
        <v>10</v>
      </c>
      <c r="J393" s="33">
        <v>7</v>
      </c>
      <c r="K393" s="36"/>
      <c r="L393" s="115"/>
      <c r="M393" s="115"/>
      <c r="N393" s="115"/>
      <c r="O393" s="115"/>
    </row>
    <row r="394" spans="1:15" ht="18.75" customHeight="1" thickBot="1" x14ac:dyDescent="0.25">
      <c r="A394" s="238"/>
      <c r="B394" s="228"/>
      <c r="C394" s="37"/>
      <c r="D394" s="38" t="s">
        <v>7</v>
      </c>
      <c r="E394" s="39"/>
      <c r="F394" s="40">
        <v>7</v>
      </c>
      <c r="G394" s="231"/>
      <c r="H394" s="41"/>
      <c r="I394" s="42" t="s">
        <v>10</v>
      </c>
      <c r="J394" s="40">
        <v>7</v>
      </c>
      <c r="K394" s="43"/>
      <c r="L394" s="115"/>
      <c r="M394" s="115"/>
      <c r="N394" s="115"/>
      <c r="O394" s="115"/>
    </row>
    <row r="395" spans="1:15" ht="18" customHeight="1" x14ac:dyDescent="0.2">
      <c r="A395" s="237">
        <v>45565</v>
      </c>
      <c r="B395" s="232" t="s">
        <v>13</v>
      </c>
      <c r="C395" s="44"/>
      <c r="D395" s="44" t="s">
        <v>7</v>
      </c>
      <c r="E395" s="45"/>
      <c r="F395" s="46">
        <v>7</v>
      </c>
      <c r="G395" s="185" t="s">
        <v>13</v>
      </c>
      <c r="H395" s="47"/>
      <c r="I395" s="47" t="s">
        <v>10</v>
      </c>
      <c r="J395" s="46">
        <v>7</v>
      </c>
      <c r="K395" s="48"/>
      <c r="L395" s="115"/>
      <c r="M395" s="115"/>
      <c r="N395" s="115"/>
      <c r="O395" s="115"/>
    </row>
    <row r="396" spans="1:15" ht="18" customHeight="1" x14ac:dyDescent="0.2">
      <c r="A396" s="238"/>
      <c r="B396" s="233"/>
      <c r="C396" s="49"/>
      <c r="D396" s="44" t="s">
        <v>7</v>
      </c>
      <c r="E396" s="45"/>
      <c r="F396" s="46">
        <v>7</v>
      </c>
      <c r="G396" s="235"/>
      <c r="H396" s="50"/>
      <c r="I396" s="51" t="s">
        <v>10</v>
      </c>
      <c r="J396" s="46">
        <v>7</v>
      </c>
      <c r="K396" s="52"/>
      <c r="L396" s="115"/>
      <c r="M396" s="115"/>
      <c r="N396" s="115"/>
      <c r="O396" s="115"/>
    </row>
    <row r="397" spans="1:15" ht="18" customHeight="1" x14ac:dyDescent="0.2">
      <c r="A397" s="238"/>
      <c r="B397" s="233"/>
      <c r="C397" s="49"/>
      <c r="D397" s="44" t="s">
        <v>7</v>
      </c>
      <c r="E397" s="45"/>
      <c r="F397" s="46">
        <v>7</v>
      </c>
      <c r="G397" s="235"/>
      <c r="H397" s="50"/>
      <c r="I397" s="51" t="s">
        <v>10</v>
      </c>
      <c r="J397" s="46">
        <v>7</v>
      </c>
      <c r="K397" s="52"/>
      <c r="L397" s="115"/>
      <c r="M397" s="115"/>
      <c r="N397" s="115"/>
      <c r="O397" s="115"/>
    </row>
    <row r="398" spans="1:15" ht="18.75" customHeight="1" thickBot="1" x14ac:dyDescent="0.25">
      <c r="A398" s="238"/>
      <c r="B398" s="234"/>
      <c r="C398" s="53"/>
      <c r="D398" s="54" t="s">
        <v>7</v>
      </c>
      <c r="E398" s="55"/>
      <c r="F398" s="56">
        <v>7</v>
      </c>
      <c r="G398" s="236"/>
      <c r="H398" s="57"/>
      <c r="I398" s="58" t="s">
        <v>10</v>
      </c>
      <c r="J398" s="56">
        <v>7</v>
      </c>
      <c r="K398" s="59"/>
      <c r="L398" s="115"/>
      <c r="M398" s="115"/>
      <c r="N398" s="115"/>
      <c r="O398" s="115"/>
    </row>
    <row r="399" spans="1:15" ht="23.25" x14ac:dyDescent="0.35">
      <c r="A399" s="118"/>
      <c r="B399" s="106"/>
      <c r="C399" s="107"/>
      <c r="D399" s="194" t="s">
        <v>37</v>
      </c>
      <c r="E399" s="195"/>
      <c r="F399" s="108">
        <f>SUM(F387:F398)</f>
        <v>84</v>
      </c>
      <c r="G399" s="107"/>
      <c r="H399" s="185" t="s">
        <v>37</v>
      </c>
      <c r="I399" s="186"/>
      <c r="J399" s="108">
        <f>SUM(J387:J398)</f>
        <v>84</v>
      </c>
      <c r="K399" s="109"/>
      <c r="L399" s="115"/>
      <c r="M399" s="115"/>
      <c r="N399" s="115"/>
      <c r="O399" s="115"/>
    </row>
    <row r="400" spans="1:15" ht="24" thickBot="1" x14ac:dyDescent="0.4">
      <c r="A400" s="119"/>
      <c r="B400" s="110"/>
      <c r="C400" s="111"/>
      <c r="D400" s="187" t="s">
        <v>21</v>
      </c>
      <c r="E400" s="188"/>
      <c r="F400" s="112">
        <f>F399/120*1</f>
        <v>0.7</v>
      </c>
      <c r="G400" s="111"/>
      <c r="H400" s="189" t="s">
        <v>22</v>
      </c>
      <c r="I400" s="190"/>
      <c r="J400" s="113">
        <f>J399/120*1</f>
        <v>0.7</v>
      </c>
      <c r="K400" s="114"/>
      <c r="L400" s="115"/>
      <c r="M400" s="115"/>
      <c r="N400" s="115"/>
      <c r="O400" s="115"/>
    </row>
  </sheetData>
  <mergeCells count="351">
    <mergeCell ref="D1:E1"/>
    <mergeCell ref="H1:I1"/>
    <mergeCell ref="A2:A4"/>
    <mergeCell ref="B2:K2"/>
    <mergeCell ref="B3:F3"/>
    <mergeCell ref="G3:K3"/>
    <mergeCell ref="A5:A8"/>
    <mergeCell ref="B5:B8"/>
    <mergeCell ref="G5:G8"/>
    <mergeCell ref="A9:A12"/>
    <mergeCell ref="B9:B12"/>
    <mergeCell ref="G9:G12"/>
    <mergeCell ref="D21:E21"/>
    <mergeCell ref="H21:I21"/>
    <mergeCell ref="D22:E22"/>
    <mergeCell ref="H22:I22"/>
    <mergeCell ref="A24:A26"/>
    <mergeCell ref="B24:K24"/>
    <mergeCell ref="B25:F25"/>
    <mergeCell ref="G25:K25"/>
    <mergeCell ref="A13:A16"/>
    <mergeCell ref="B13:B16"/>
    <mergeCell ref="G13:G16"/>
    <mergeCell ref="A17:A20"/>
    <mergeCell ref="B17:B20"/>
    <mergeCell ref="G17:G20"/>
    <mergeCell ref="A35:A38"/>
    <mergeCell ref="B35:B38"/>
    <mergeCell ref="G35:G38"/>
    <mergeCell ref="A39:A42"/>
    <mergeCell ref="B39:B42"/>
    <mergeCell ref="G39:G42"/>
    <mergeCell ref="A27:A30"/>
    <mergeCell ref="B27:B30"/>
    <mergeCell ref="G27:G30"/>
    <mergeCell ref="A31:A34"/>
    <mergeCell ref="B31:B34"/>
    <mergeCell ref="G31:G34"/>
    <mergeCell ref="D51:E51"/>
    <mergeCell ref="H51:I51"/>
    <mergeCell ref="D52:E52"/>
    <mergeCell ref="H52:I52"/>
    <mergeCell ref="A54:A56"/>
    <mergeCell ref="B54:K54"/>
    <mergeCell ref="B55:F55"/>
    <mergeCell ref="G55:K55"/>
    <mergeCell ref="A43:A46"/>
    <mergeCell ref="B43:B46"/>
    <mergeCell ref="G43:G46"/>
    <mergeCell ref="A47:A50"/>
    <mergeCell ref="B47:B50"/>
    <mergeCell ref="G47:G50"/>
    <mergeCell ref="A65:A68"/>
    <mergeCell ref="B65:B68"/>
    <mergeCell ref="G65:G68"/>
    <mergeCell ref="A69:A72"/>
    <mergeCell ref="B69:B72"/>
    <mergeCell ref="G69:G72"/>
    <mergeCell ref="A57:A60"/>
    <mergeCell ref="B57:B60"/>
    <mergeCell ref="G57:G60"/>
    <mergeCell ref="A61:A64"/>
    <mergeCell ref="B61:B64"/>
    <mergeCell ref="G61:G64"/>
    <mergeCell ref="D81:E81"/>
    <mergeCell ref="H81:I81"/>
    <mergeCell ref="D82:E82"/>
    <mergeCell ref="H82:I82"/>
    <mergeCell ref="A84:A86"/>
    <mergeCell ref="B84:K84"/>
    <mergeCell ref="B85:F85"/>
    <mergeCell ref="G85:K85"/>
    <mergeCell ref="A73:A76"/>
    <mergeCell ref="B73:B76"/>
    <mergeCell ref="G73:G76"/>
    <mergeCell ref="A77:A80"/>
    <mergeCell ref="B77:B80"/>
    <mergeCell ref="G77:G80"/>
    <mergeCell ref="A95:A98"/>
    <mergeCell ref="B95:B98"/>
    <mergeCell ref="G95:G98"/>
    <mergeCell ref="A99:A102"/>
    <mergeCell ref="B99:B102"/>
    <mergeCell ref="G99:G102"/>
    <mergeCell ref="A87:A90"/>
    <mergeCell ref="B87:B90"/>
    <mergeCell ref="G87:G90"/>
    <mergeCell ref="A91:A94"/>
    <mergeCell ref="B91:B94"/>
    <mergeCell ref="G91:G94"/>
    <mergeCell ref="D111:E111"/>
    <mergeCell ref="H111:I111"/>
    <mergeCell ref="D112:E112"/>
    <mergeCell ref="H112:I112"/>
    <mergeCell ref="A114:A116"/>
    <mergeCell ref="B114:K114"/>
    <mergeCell ref="B115:F115"/>
    <mergeCell ref="G115:K115"/>
    <mergeCell ref="A103:A106"/>
    <mergeCell ref="B103:B106"/>
    <mergeCell ref="G103:G106"/>
    <mergeCell ref="A107:A110"/>
    <mergeCell ref="B107:B110"/>
    <mergeCell ref="G107:G110"/>
    <mergeCell ref="A125:A128"/>
    <mergeCell ref="B125:B128"/>
    <mergeCell ref="G125:G128"/>
    <mergeCell ref="A129:A132"/>
    <mergeCell ref="B129:B132"/>
    <mergeCell ref="G129:G132"/>
    <mergeCell ref="A117:A120"/>
    <mergeCell ref="B117:B120"/>
    <mergeCell ref="G117:G120"/>
    <mergeCell ref="A121:A124"/>
    <mergeCell ref="B121:B124"/>
    <mergeCell ref="G121:G124"/>
    <mergeCell ref="D141:E141"/>
    <mergeCell ref="H141:I141"/>
    <mergeCell ref="D142:E142"/>
    <mergeCell ref="H142:I142"/>
    <mergeCell ref="A144:A146"/>
    <mergeCell ref="B144:K144"/>
    <mergeCell ref="B145:F145"/>
    <mergeCell ref="G145:K145"/>
    <mergeCell ref="A133:A136"/>
    <mergeCell ref="B133:B136"/>
    <mergeCell ref="G133:G136"/>
    <mergeCell ref="A137:A140"/>
    <mergeCell ref="B137:B140"/>
    <mergeCell ref="G137:G140"/>
    <mergeCell ref="A155:A158"/>
    <mergeCell ref="B155:B158"/>
    <mergeCell ref="G155:G158"/>
    <mergeCell ref="A159:A162"/>
    <mergeCell ref="B159:B162"/>
    <mergeCell ref="G159:G162"/>
    <mergeCell ref="A147:A150"/>
    <mergeCell ref="B147:B150"/>
    <mergeCell ref="G147:G150"/>
    <mergeCell ref="A151:A154"/>
    <mergeCell ref="B151:B154"/>
    <mergeCell ref="G151:G154"/>
    <mergeCell ref="D171:E171"/>
    <mergeCell ref="H171:I171"/>
    <mergeCell ref="D172:E172"/>
    <mergeCell ref="H172:I172"/>
    <mergeCell ref="A174:A176"/>
    <mergeCell ref="B174:K174"/>
    <mergeCell ref="B175:F175"/>
    <mergeCell ref="G175:K175"/>
    <mergeCell ref="A163:A166"/>
    <mergeCell ref="B163:B166"/>
    <mergeCell ref="G163:G166"/>
    <mergeCell ref="A167:A170"/>
    <mergeCell ref="B167:B170"/>
    <mergeCell ref="G167:G170"/>
    <mergeCell ref="A185:A188"/>
    <mergeCell ref="B185:B188"/>
    <mergeCell ref="G185:G188"/>
    <mergeCell ref="A189:A192"/>
    <mergeCell ref="B189:B192"/>
    <mergeCell ref="G189:G192"/>
    <mergeCell ref="A177:A180"/>
    <mergeCell ref="B177:B180"/>
    <mergeCell ref="G177:G180"/>
    <mergeCell ref="A181:A184"/>
    <mergeCell ref="B181:B184"/>
    <mergeCell ref="G181:G184"/>
    <mergeCell ref="D201:E201"/>
    <mergeCell ref="H201:I201"/>
    <mergeCell ref="D202:E202"/>
    <mergeCell ref="H202:I202"/>
    <mergeCell ref="A204:A206"/>
    <mergeCell ref="B204:K204"/>
    <mergeCell ref="B205:F205"/>
    <mergeCell ref="G205:K205"/>
    <mergeCell ref="A193:A196"/>
    <mergeCell ref="B193:B196"/>
    <mergeCell ref="G193:G196"/>
    <mergeCell ref="A197:A200"/>
    <mergeCell ref="B197:B200"/>
    <mergeCell ref="G197:G200"/>
    <mergeCell ref="A215:A218"/>
    <mergeCell ref="B215:B218"/>
    <mergeCell ref="G215:G218"/>
    <mergeCell ref="A219:A222"/>
    <mergeCell ref="B219:B222"/>
    <mergeCell ref="G219:G222"/>
    <mergeCell ref="A207:A210"/>
    <mergeCell ref="B207:B210"/>
    <mergeCell ref="G207:G210"/>
    <mergeCell ref="A211:A214"/>
    <mergeCell ref="B211:B214"/>
    <mergeCell ref="G211:G214"/>
    <mergeCell ref="D231:E231"/>
    <mergeCell ref="H231:I231"/>
    <mergeCell ref="D232:E232"/>
    <mergeCell ref="H232:I232"/>
    <mergeCell ref="A234:A236"/>
    <mergeCell ref="B234:K234"/>
    <mergeCell ref="B235:F235"/>
    <mergeCell ref="G235:K235"/>
    <mergeCell ref="A223:A226"/>
    <mergeCell ref="B223:B226"/>
    <mergeCell ref="G223:G226"/>
    <mergeCell ref="A227:A230"/>
    <mergeCell ref="B227:B230"/>
    <mergeCell ref="G227:G230"/>
    <mergeCell ref="A245:A248"/>
    <mergeCell ref="B245:B248"/>
    <mergeCell ref="G245:G248"/>
    <mergeCell ref="A249:A252"/>
    <mergeCell ref="B249:B252"/>
    <mergeCell ref="G249:G252"/>
    <mergeCell ref="A237:A240"/>
    <mergeCell ref="B237:B240"/>
    <mergeCell ref="G237:G240"/>
    <mergeCell ref="A241:A244"/>
    <mergeCell ref="B241:B244"/>
    <mergeCell ref="G241:G244"/>
    <mergeCell ref="D261:E261"/>
    <mergeCell ref="H261:I261"/>
    <mergeCell ref="D262:E262"/>
    <mergeCell ref="H262:I262"/>
    <mergeCell ref="A264:A266"/>
    <mergeCell ref="B264:K264"/>
    <mergeCell ref="B265:F265"/>
    <mergeCell ref="G265:K265"/>
    <mergeCell ref="A253:A256"/>
    <mergeCell ref="B253:B256"/>
    <mergeCell ref="G253:G256"/>
    <mergeCell ref="A257:A260"/>
    <mergeCell ref="B257:B260"/>
    <mergeCell ref="G257:G260"/>
    <mergeCell ref="A275:A278"/>
    <mergeCell ref="B275:B278"/>
    <mergeCell ref="G275:G278"/>
    <mergeCell ref="A279:A282"/>
    <mergeCell ref="B279:B282"/>
    <mergeCell ref="G279:G282"/>
    <mergeCell ref="A267:A270"/>
    <mergeCell ref="B267:B270"/>
    <mergeCell ref="G267:G270"/>
    <mergeCell ref="A271:A274"/>
    <mergeCell ref="B271:B274"/>
    <mergeCell ref="G271:G274"/>
    <mergeCell ref="D291:E291"/>
    <mergeCell ref="H291:I291"/>
    <mergeCell ref="D292:E292"/>
    <mergeCell ref="H292:I292"/>
    <mergeCell ref="A294:A296"/>
    <mergeCell ref="B294:K294"/>
    <mergeCell ref="B295:F295"/>
    <mergeCell ref="G295:K295"/>
    <mergeCell ref="A283:A286"/>
    <mergeCell ref="B283:B286"/>
    <mergeCell ref="G283:G286"/>
    <mergeCell ref="A287:A290"/>
    <mergeCell ref="B287:B290"/>
    <mergeCell ref="G287:G290"/>
    <mergeCell ref="A305:A308"/>
    <mergeCell ref="B305:B308"/>
    <mergeCell ref="G305:G308"/>
    <mergeCell ref="A309:A312"/>
    <mergeCell ref="B309:B312"/>
    <mergeCell ref="G309:G312"/>
    <mergeCell ref="A297:A300"/>
    <mergeCell ref="B297:B300"/>
    <mergeCell ref="G297:G300"/>
    <mergeCell ref="A301:A304"/>
    <mergeCell ref="B301:B304"/>
    <mergeCell ref="G301:G304"/>
    <mergeCell ref="D321:E321"/>
    <mergeCell ref="H321:I321"/>
    <mergeCell ref="D322:E322"/>
    <mergeCell ref="H322:I322"/>
    <mergeCell ref="A324:A326"/>
    <mergeCell ref="B324:K324"/>
    <mergeCell ref="B325:F325"/>
    <mergeCell ref="G325:K325"/>
    <mergeCell ref="A313:A316"/>
    <mergeCell ref="B313:B316"/>
    <mergeCell ref="G313:G316"/>
    <mergeCell ref="A317:A320"/>
    <mergeCell ref="B317:B320"/>
    <mergeCell ref="G317:G320"/>
    <mergeCell ref="A335:A338"/>
    <mergeCell ref="B335:B338"/>
    <mergeCell ref="G335:G338"/>
    <mergeCell ref="A339:A342"/>
    <mergeCell ref="B339:B342"/>
    <mergeCell ref="G339:G342"/>
    <mergeCell ref="A327:A330"/>
    <mergeCell ref="B327:B330"/>
    <mergeCell ref="G327:G330"/>
    <mergeCell ref="A331:A334"/>
    <mergeCell ref="B331:B334"/>
    <mergeCell ref="G331:G334"/>
    <mergeCell ref="D351:E351"/>
    <mergeCell ref="H351:I351"/>
    <mergeCell ref="D352:E352"/>
    <mergeCell ref="H352:I352"/>
    <mergeCell ref="A354:A356"/>
    <mergeCell ref="B354:K354"/>
    <mergeCell ref="B355:F355"/>
    <mergeCell ref="G355:K355"/>
    <mergeCell ref="A343:A346"/>
    <mergeCell ref="B343:B346"/>
    <mergeCell ref="G343:G346"/>
    <mergeCell ref="A347:A350"/>
    <mergeCell ref="B347:B350"/>
    <mergeCell ref="G347:G350"/>
    <mergeCell ref="A365:A368"/>
    <mergeCell ref="B365:B368"/>
    <mergeCell ref="G365:G368"/>
    <mergeCell ref="A369:A372"/>
    <mergeCell ref="B369:B372"/>
    <mergeCell ref="G369:G372"/>
    <mergeCell ref="A357:A360"/>
    <mergeCell ref="B357:B360"/>
    <mergeCell ref="G357:G360"/>
    <mergeCell ref="A361:A364"/>
    <mergeCell ref="B361:B364"/>
    <mergeCell ref="G361:G364"/>
    <mergeCell ref="D381:E381"/>
    <mergeCell ref="H381:I381"/>
    <mergeCell ref="D382:E382"/>
    <mergeCell ref="H382:I382"/>
    <mergeCell ref="A384:A386"/>
    <mergeCell ref="B384:K384"/>
    <mergeCell ref="B385:F385"/>
    <mergeCell ref="G385:K385"/>
    <mergeCell ref="A373:A376"/>
    <mergeCell ref="B373:B376"/>
    <mergeCell ref="G373:G376"/>
    <mergeCell ref="A377:A380"/>
    <mergeCell ref="B377:B380"/>
    <mergeCell ref="G377:G380"/>
    <mergeCell ref="D399:E399"/>
    <mergeCell ref="H399:I399"/>
    <mergeCell ref="D400:E400"/>
    <mergeCell ref="H400:I400"/>
    <mergeCell ref="A395:A398"/>
    <mergeCell ref="B395:B398"/>
    <mergeCell ref="G395:G398"/>
    <mergeCell ref="A387:A390"/>
    <mergeCell ref="B387:B390"/>
    <mergeCell ref="G387:G390"/>
    <mergeCell ref="A391:A394"/>
    <mergeCell ref="B391:B394"/>
    <mergeCell ref="G391:G394"/>
  </mergeCells>
  <dataValidations count="2">
    <dataValidation type="list" allowBlank="1" showInputMessage="1" showErrorMessage="1" sqref="E117:E140 E387:E398 E357:E380 E327:E350 E297:E320 E267:E290 E237:E260 E207:E230 E177:E200 E147:E170 E57:E80 E27:E50 E87:E110 E5:E20" xr:uid="{00000000-0002-0000-0200-000000000000}">
      <formula1>#REF!</formula1>
    </dataValidation>
    <dataValidation type="list" allowBlank="1" showInputMessage="1" showErrorMessage="1" sqref="D117:D140 D387:D398 D357:D380 D327:D350 D297:D320 D267:D290 D237:D260 D207:D230 D177:D200 D147:D170 D57:D80 D27:D50 D87:D110 D5:D20 I117:I140 I387:I398 I357:I380 I327:I350 I297:I320 I267:I290 I237:I260 I207:I230 I177:I200 I147:I170 I57:I80 I27:I50 I87:I110 I5:I20" xr:uid="{00000000-0002-0000-02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1"/>
  <sheetViews>
    <sheetView rightToLeft="1" topLeftCell="A308" zoomScale="85" zoomScaleNormal="85" workbookViewId="0">
      <selection sqref="A1:XFD1"/>
    </sheetView>
  </sheetViews>
  <sheetFormatPr defaultRowHeight="14.25" x14ac:dyDescent="0.2"/>
  <cols>
    <col min="1" max="1" width="12.75" bestFit="1" customWidth="1"/>
    <col min="2" max="2" width="10" customWidth="1"/>
    <col min="3" max="3" width="63.125" customWidth="1"/>
    <col min="4" max="4" width="11.25" customWidth="1"/>
    <col min="5" max="5" width="12" customWidth="1"/>
    <col min="6" max="6" width="15.5" bestFit="1" customWidth="1"/>
    <col min="7" max="7" width="10.125" customWidth="1"/>
    <col min="8" max="8" width="36.875" customWidth="1"/>
    <col min="9" max="9" width="11.625" customWidth="1"/>
    <col min="10" max="10" width="15.5" bestFit="1" customWidth="1"/>
    <col min="11" max="11" width="65.375" customWidth="1"/>
  </cols>
  <sheetData>
    <row r="1" spans="1:15" ht="15" thickBot="1" x14ac:dyDescent="0.25"/>
    <row r="2" spans="1:15" ht="53.25" customHeight="1" thickBot="1" x14ac:dyDescent="0.25">
      <c r="A2" s="1">
        <v>1</v>
      </c>
      <c r="B2" s="1"/>
      <c r="C2" s="1"/>
      <c r="D2" s="241" t="s">
        <v>23</v>
      </c>
      <c r="E2" s="242"/>
      <c r="F2" s="121">
        <f>(F19+F49+F79+F109+F139+F169+F199+F229+F259+F289+F319+F349+F379+F401+F431)/14</f>
        <v>0.7</v>
      </c>
      <c r="G2" s="1"/>
      <c r="H2" s="239" t="s">
        <v>24</v>
      </c>
      <c r="I2" s="240"/>
      <c r="J2" s="122">
        <f>(J19+J49+J79+J109+J139+J169+J199+J229+J259+J289+J319+J349+J379+J401)/14</f>
        <v>0.67708333333333315</v>
      </c>
      <c r="K2" s="1"/>
      <c r="L2" s="115"/>
      <c r="M2" s="115"/>
      <c r="N2" s="115"/>
      <c r="O2" s="115"/>
    </row>
    <row r="3" spans="1:15" ht="21" thickBot="1" x14ac:dyDescent="0.35">
      <c r="A3" s="244" t="s">
        <v>25</v>
      </c>
      <c r="B3" s="191" t="s">
        <v>0</v>
      </c>
      <c r="C3" s="192"/>
      <c r="D3" s="243"/>
      <c r="E3" s="243"/>
      <c r="F3" s="243"/>
      <c r="G3" s="192"/>
      <c r="H3" s="243"/>
      <c r="I3" s="243"/>
      <c r="J3" s="243"/>
      <c r="K3" s="193"/>
      <c r="L3" s="115"/>
      <c r="M3" s="115"/>
      <c r="N3" s="115"/>
      <c r="O3" s="115"/>
    </row>
    <row r="4" spans="1:15" ht="21" customHeight="1" thickBot="1" x14ac:dyDescent="0.35">
      <c r="A4" s="245"/>
      <c r="B4" s="196" t="s">
        <v>17</v>
      </c>
      <c r="C4" s="197"/>
      <c r="D4" s="197"/>
      <c r="E4" s="197"/>
      <c r="F4" s="198"/>
      <c r="G4" s="199" t="s">
        <v>1</v>
      </c>
      <c r="H4" s="200"/>
      <c r="I4" s="200"/>
      <c r="J4" s="200"/>
      <c r="K4" s="201"/>
      <c r="L4" s="115"/>
      <c r="M4" s="115"/>
      <c r="N4" s="115"/>
      <c r="O4" s="115"/>
    </row>
    <row r="5" spans="1:15" ht="41.25" thickBot="1" x14ac:dyDescent="0.25">
      <c r="A5" s="246"/>
      <c r="B5" s="2" t="s">
        <v>2</v>
      </c>
      <c r="C5" s="3" t="s">
        <v>6</v>
      </c>
      <c r="D5" s="3" t="s">
        <v>7</v>
      </c>
      <c r="E5" s="3" t="s">
        <v>8</v>
      </c>
      <c r="F5" s="4" t="s">
        <v>19</v>
      </c>
      <c r="G5" s="5" t="s">
        <v>2</v>
      </c>
      <c r="H5" s="6" t="s">
        <v>3</v>
      </c>
      <c r="I5" s="6" t="s">
        <v>4</v>
      </c>
      <c r="J5" s="7" t="s">
        <v>18</v>
      </c>
      <c r="K5" s="8" t="s">
        <v>5</v>
      </c>
      <c r="L5" s="115"/>
      <c r="M5" s="115"/>
      <c r="N5" s="115"/>
      <c r="O5" s="115"/>
    </row>
    <row r="6" spans="1:15" ht="18" x14ac:dyDescent="0.2">
      <c r="A6" s="237">
        <v>45566</v>
      </c>
      <c r="B6" s="202" t="s">
        <v>14</v>
      </c>
      <c r="C6" s="60"/>
      <c r="D6" s="60" t="s">
        <v>7</v>
      </c>
      <c r="E6" s="61"/>
      <c r="F6" s="62">
        <v>7</v>
      </c>
      <c r="G6" s="205" t="s">
        <v>14</v>
      </c>
      <c r="H6" s="44"/>
      <c r="I6" s="44" t="s">
        <v>10</v>
      </c>
      <c r="J6" s="62">
        <v>7</v>
      </c>
      <c r="K6" s="45"/>
      <c r="L6" s="115"/>
      <c r="M6" s="115"/>
      <c r="N6" s="115"/>
      <c r="O6" s="115"/>
    </row>
    <row r="7" spans="1:15" ht="18" x14ac:dyDescent="0.2">
      <c r="A7" s="238"/>
      <c r="B7" s="203"/>
      <c r="C7" s="63"/>
      <c r="D7" s="64" t="s">
        <v>7</v>
      </c>
      <c r="E7" s="65"/>
      <c r="F7" s="66">
        <v>7</v>
      </c>
      <c r="G7" s="206"/>
      <c r="H7" s="49"/>
      <c r="I7" s="44" t="s">
        <v>10</v>
      </c>
      <c r="J7" s="66">
        <v>7</v>
      </c>
      <c r="K7" s="67"/>
      <c r="L7" s="115"/>
      <c r="M7" s="115"/>
      <c r="N7" s="115"/>
      <c r="O7" s="115"/>
    </row>
    <row r="8" spans="1:15" ht="18" x14ac:dyDescent="0.2">
      <c r="A8" s="238"/>
      <c r="B8" s="203"/>
      <c r="C8" s="63"/>
      <c r="D8" s="64" t="s">
        <v>7</v>
      </c>
      <c r="E8" s="65"/>
      <c r="F8" s="66">
        <v>7</v>
      </c>
      <c r="G8" s="206"/>
      <c r="H8" s="49"/>
      <c r="I8" s="44" t="s">
        <v>10</v>
      </c>
      <c r="J8" s="66">
        <v>7</v>
      </c>
      <c r="K8" s="67"/>
      <c r="L8" s="115"/>
      <c r="M8" s="115"/>
      <c r="N8" s="115"/>
      <c r="O8" s="115"/>
    </row>
    <row r="9" spans="1:15" ht="18.75" thickBot="1" x14ac:dyDescent="0.25">
      <c r="A9" s="238"/>
      <c r="B9" s="204"/>
      <c r="C9" s="68"/>
      <c r="D9" s="69" t="s">
        <v>7</v>
      </c>
      <c r="E9" s="70"/>
      <c r="F9" s="71">
        <v>7</v>
      </c>
      <c r="G9" s="207"/>
      <c r="H9" s="53"/>
      <c r="I9" s="54" t="s">
        <v>10</v>
      </c>
      <c r="J9" s="71">
        <v>7</v>
      </c>
      <c r="K9" s="72"/>
      <c r="L9" s="115"/>
      <c r="M9" s="115"/>
      <c r="N9" s="115"/>
      <c r="O9" s="115"/>
    </row>
    <row r="10" spans="1:15" ht="18" customHeight="1" x14ac:dyDescent="0.2">
      <c r="A10" s="237">
        <v>45567</v>
      </c>
      <c r="B10" s="208" t="s">
        <v>15</v>
      </c>
      <c r="C10" s="16"/>
      <c r="D10" s="16" t="s">
        <v>7</v>
      </c>
      <c r="E10" s="73"/>
      <c r="F10" s="74">
        <v>7</v>
      </c>
      <c r="G10" s="211" t="s">
        <v>15</v>
      </c>
      <c r="H10" s="75"/>
      <c r="I10" s="75" t="s">
        <v>10</v>
      </c>
      <c r="J10" s="74">
        <v>7</v>
      </c>
      <c r="K10" s="76"/>
      <c r="L10" s="115"/>
      <c r="M10" s="115"/>
      <c r="N10" s="115"/>
      <c r="O10" s="115"/>
    </row>
    <row r="11" spans="1:15" ht="18" customHeight="1" x14ac:dyDescent="0.2">
      <c r="A11" s="238"/>
      <c r="B11" s="209"/>
      <c r="C11" s="15"/>
      <c r="D11" s="16" t="s">
        <v>7</v>
      </c>
      <c r="E11" s="73"/>
      <c r="F11" s="74">
        <v>7</v>
      </c>
      <c r="G11" s="212"/>
      <c r="H11" s="77"/>
      <c r="I11" s="78" t="s">
        <v>10</v>
      </c>
      <c r="J11" s="74">
        <v>7</v>
      </c>
      <c r="K11" s="79"/>
      <c r="L11" s="115"/>
      <c r="M11" s="115"/>
      <c r="N11" s="115"/>
      <c r="O11" s="115"/>
    </row>
    <row r="12" spans="1:15" ht="18" customHeight="1" x14ac:dyDescent="0.2">
      <c r="A12" s="238"/>
      <c r="B12" s="209"/>
      <c r="C12" s="15"/>
      <c r="D12" s="16" t="s">
        <v>7</v>
      </c>
      <c r="E12" s="73"/>
      <c r="F12" s="74">
        <v>7</v>
      </c>
      <c r="G12" s="212"/>
      <c r="H12" s="77"/>
      <c r="I12" s="78" t="s">
        <v>10</v>
      </c>
      <c r="J12" s="74">
        <v>7</v>
      </c>
      <c r="K12" s="79"/>
      <c r="L12" s="115"/>
      <c r="M12" s="115"/>
      <c r="N12" s="115"/>
      <c r="O12" s="115"/>
    </row>
    <row r="13" spans="1:15" ht="18.75" customHeight="1" thickBot="1" x14ac:dyDescent="0.25">
      <c r="A13" s="238"/>
      <c r="B13" s="210"/>
      <c r="C13" s="80"/>
      <c r="D13" s="81" t="s">
        <v>7</v>
      </c>
      <c r="E13" s="82"/>
      <c r="F13" s="83">
        <v>7</v>
      </c>
      <c r="G13" s="213"/>
      <c r="H13" s="84"/>
      <c r="I13" s="85" t="s">
        <v>10</v>
      </c>
      <c r="J13" s="83">
        <v>7</v>
      </c>
      <c r="K13" s="86"/>
      <c r="L13" s="115"/>
      <c r="M13" s="115"/>
      <c r="N13" s="115"/>
      <c r="O13" s="115"/>
    </row>
    <row r="14" spans="1:15" ht="18" customHeight="1" x14ac:dyDescent="0.2">
      <c r="A14" s="237">
        <v>45568</v>
      </c>
      <c r="B14" s="214" t="s">
        <v>16</v>
      </c>
      <c r="C14" s="87"/>
      <c r="D14" s="87" t="s">
        <v>7</v>
      </c>
      <c r="E14" s="88"/>
      <c r="F14" s="89">
        <v>7</v>
      </c>
      <c r="G14" s="217" t="s">
        <v>16</v>
      </c>
      <c r="H14" s="90"/>
      <c r="I14" s="90" t="s">
        <v>10</v>
      </c>
      <c r="J14" s="89">
        <v>7</v>
      </c>
      <c r="K14" s="91"/>
      <c r="L14" s="115"/>
      <c r="M14" s="115"/>
      <c r="N14" s="115"/>
      <c r="O14" s="115"/>
    </row>
    <row r="15" spans="1:15" ht="18" customHeight="1" x14ac:dyDescent="0.2">
      <c r="A15" s="238"/>
      <c r="B15" s="215"/>
      <c r="C15" s="92"/>
      <c r="D15" s="93" t="s">
        <v>7</v>
      </c>
      <c r="E15" s="94"/>
      <c r="F15" s="95">
        <v>7</v>
      </c>
      <c r="G15" s="218"/>
      <c r="H15" s="96"/>
      <c r="I15" s="97" t="s">
        <v>10</v>
      </c>
      <c r="J15" s="95">
        <v>7</v>
      </c>
      <c r="K15" s="98"/>
      <c r="L15" s="115"/>
      <c r="M15" s="115"/>
      <c r="N15" s="115"/>
      <c r="O15" s="115"/>
    </row>
    <row r="16" spans="1:15" ht="18" customHeight="1" x14ac:dyDescent="0.2">
      <c r="A16" s="238"/>
      <c r="B16" s="215"/>
      <c r="C16" s="92"/>
      <c r="D16" s="93" t="s">
        <v>7</v>
      </c>
      <c r="E16" s="94"/>
      <c r="F16" s="95">
        <v>7</v>
      </c>
      <c r="G16" s="218"/>
      <c r="H16" s="96"/>
      <c r="I16" s="97" t="s">
        <v>10</v>
      </c>
      <c r="J16" s="95">
        <v>7</v>
      </c>
      <c r="K16" s="98"/>
      <c r="L16" s="115"/>
      <c r="M16" s="115"/>
      <c r="N16" s="115"/>
      <c r="O16" s="115"/>
    </row>
    <row r="17" spans="1:15" ht="18.75" customHeight="1" thickBot="1" x14ac:dyDescent="0.25">
      <c r="A17" s="238"/>
      <c r="B17" s="216"/>
      <c r="C17" s="99"/>
      <c r="D17" s="100" t="s">
        <v>7</v>
      </c>
      <c r="E17" s="101"/>
      <c r="F17" s="102">
        <v>7</v>
      </c>
      <c r="G17" s="219"/>
      <c r="H17" s="103"/>
      <c r="I17" s="104" t="s">
        <v>10</v>
      </c>
      <c r="J17" s="102">
        <v>7</v>
      </c>
      <c r="K17" s="105"/>
      <c r="L17" s="115"/>
      <c r="M17" s="115"/>
      <c r="N17" s="115"/>
      <c r="O17" s="115"/>
    </row>
    <row r="18" spans="1:15" ht="18" customHeight="1" x14ac:dyDescent="0.35">
      <c r="A18" s="118"/>
      <c r="B18" s="106"/>
      <c r="C18" s="107"/>
      <c r="D18" s="194" t="s">
        <v>37</v>
      </c>
      <c r="E18" s="195"/>
      <c r="F18" s="108">
        <f>SUM(F6:F17)</f>
        <v>84</v>
      </c>
      <c r="G18" s="107"/>
      <c r="H18" s="185" t="s">
        <v>37</v>
      </c>
      <c r="I18" s="186"/>
      <c r="J18" s="108">
        <f>SUM(J6:J17)</f>
        <v>84</v>
      </c>
      <c r="K18" s="109"/>
      <c r="L18" s="115"/>
      <c r="M18" s="115"/>
      <c r="N18" s="115"/>
      <c r="O18" s="115"/>
    </row>
    <row r="19" spans="1:15" ht="18.75" customHeight="1" thickBot="1" x14ac:dyDescent="0.4">
      <c r="A19" s="119"/>
      <c r="B19" s="110"/>
      <c r="C19" s="111"/>
      <c r="D19" s="187" t="s">
        <v>21</v>
      </c>
      <c r="E19" s="188"/>
      <c r="F19" s="112">
        <f>F18/120*1</f>
        <v>0.7</v>
      </c>
      <c r="G19" s="111"/>
      <c r="H19" s="189" t="s">
        <v>22</v>
      </c>
      <c r="I19" s="190"/>
      <c r="J19" s="113">
        <f>J18/120*1</f>
        <v>0.7</v>
      </c>
      <c r="K19" s="114"/>
      <c r="L19" s="115"/>
      <c r="M19" s="115"/>
      <c r="N19" s="115"/>
      <c r="O19" s="115"/>
    </row>
    <row r="20" spans="1:15" ht="18.75" customHeight="1" thickBot="1" x14ac:dyDescent="0.4">
      <c r="A20" s="120">
        <v>2</v>
      </c>
      <c r="B20" s="115"/>
      <c r="C20" s="115"/>
      <c r="D20" s="115"/>
      <c r="E20" s="115"/>
      <c r="F20" s="116"/>
      <c r="G20" s="115"/>
      <c r="H20" s="115"/>
      <c r="I20" s="117"/>
      <c r="J20" s="116"/>
      <c r="K20" s="115"/>
      <c r="L20" s="115"/>
      <c r="M20" s="115"/>
      <c r="N20" s="115"/>
      <c r="O20" s="115"/>
    </row>
    <row r="21" spans="1:15" ht="21" thickBot="1" x14ac:dyDescent="0.35">
      <c r="A21" s="244" t="s">
        <v>25</v>
      </c>
      <c r="B21" s="191" t="s">
        <v>0</v>
      </c>
      <c r="C21" s="192"/>
      <c r="D21" s="192"/>
      <c r="E21" s="192"/>
      <c r="F21" s="192"/>
      <c r="G21" s="192"/>
      <c r="H21" s="192"/>
      <c r="I21" s="192"/>
      <c r="J21" s="192"/>
      <c r="K21" s="193"/>
      <c r="L21" s="115"/>
      <c r="M21" s="115"/>
      <c r="N21" s="115"/>
      <c r="O21" s="115"/>
    </row>
    <row r="22" spans="1:15" ht="21" thickBot="1" x14ac:dyDescent="0.35">
      <c r="A22" s="245"/>
      <c r="B22" s="196" t="s">
        <v>17</v>
      </c>
      <c r="C22" s="197"/>
      <c r="D22" s="197"/>
      <c r="E22" s="197"/>
      <c r="F22" s="198"/>
      <c r="G22" s="199" t="s">
        <v>1</v>
      </c>
      <c r="H22" s="200"/>
      <c r="I22" s="200"/>
      <c r="J22" s="200"/>
      <c r="K22" s="201"/>
      <c r="L22" s="115"/>
      <c r="M22" s="115"/>
      <c r="N22" s="115"/>
      <c r="O22" s="115"/>
    </row>
    <row r="23" spans="1:15" ht="41.25" thickBot="1" x14ac:dyDescent="0.25">
      <c r="A23" s="246"/>
      <c r="B23" s="2" t="s">
        <v>2</v>
      </c>
      <c r="C23" s="3" t="s">
        <v>6</v>
      </c>
      <c r="D23" s="3" t="s">
        <v>7</v>
      </c>
      <c r="E23" s="3" t="s">
        <v>8</v>
      </c>
      <c r="F23" s="4" t="s">
        <v>19</v>
      </c>
      <c r="G23" s="5" t="s">
        <v>2</v>
      </c>
      <c r="H23" s="6" t="s">
        <v>3</v>
      </c>
      <c r="I23" s="6" t="s">
        <v>4</v>
      </c>
      <c r="J23" s="7" t="s">
        <v>18</v>
      </c>
      <c r="K23" s="8" t="s">
        <v>5</v>
      </c>
      <c r="L23" s="115"/>
      <c r="M23" s="115"/>
      <c r="N23" s="115"/>
      <c r="O23" s="115"/>
    </row>
    <row r="24" spans="1:15" ht="18" x14ac:dyDescent="0.2">
      <c r="A24" s="237">
        <v>45570</v>
      </c>
      <c r="B24" s="220" t="s">
        <v>9</v>
      </c>
      <c r="C24" s="9"/>
      <c r="D24" s="9" t="s">
        <v>7</v>
      </c>
      <c r="E24" s="10"/>
      <c r="F24" s="11">
        <v>7</v>
      </c>
      <c r="G24" s="223" t="s">
        <v>9</v>
      </c>
      <c r="H24" s="12"/>
      <c r="I24" s="12" t="s">
        <v>10</v>
      </c>
      <c r="J24" s="11">
        <v>7</v>
      </c>
      <c r="K24" s="13"/>
      <c r="L24" s="115"/>
      <c r="M24" s="115"/>
      <c r="N24" s="115"/>
      <c r="O24" s="115"/>
    </row>
    <row r="25" spans="1:15" ht="18" x14ac:dyDescent="0.2">
      <c r="A25" s="238"/>
      <c r="B25" s="221"/>
      <c r="C25" s="14"/>
      <c r="D25" s="9" t="s">
        <v>7</v>
      </c>
      <c r="E25" s="10"/>
      <c r="F25" s="11">
        <v>7</v>
      </c>
      <c r="G25" s="224"/>
      <c r="H25" s="15"/>
      <c r="I25" s="16" t="s">
        <v>10</v>
      </c>
      <c r="J25" s="11">
        <v>7</v>
      </c>
      <c r="K25" s="17"/>
      <c r="L25" s="115"/>
      <c r="M25" s="115"/>
      <c r="N25" s="115"/>
      <c r="O25" s="115"/>
    </row>
    <row r="26" spans="1:15" ht="18" x14ac:dyDescent="0.2">
      <c r="A26" s="238"/>
      <c r="B26" s="221"/>
      <c r="C26" s="14"/>
      <c r="D26" s="9" t="s">
        <v>7</v>
      </c>
      <c r="E26" s="10"/>
      <c r="F26" s="11">
        <v>7</v>
      </c>
      <c r="G26" s="224"/>
      <c r="H26" s="15"/>
      <c r="I26" s="16" t="s">
        <v>10</v>
      </c>
      <c r="J26" s="11">
        <v>7</v>
      </c>
      <c r="K26" s="17"/>
      <c r="L26" s="115"/>
      <c r="M26" s="115"/>
      <c r="N26" s="115"/>
      <c r="O26" s="115"/>
    </row>
    <row r="27" spans="1:15" ht="18.75" thickBot="1" x14ac:dyDescent="0.25">
      <c r="A27" s="238"/>
      <c r="B27" s="222"/>
      <c r="C27" s="18"/>
      <c r="D27" s="19" t="s">
        <v>7</v>
      </c>
      <c r="E27" s="20"/>
      <c r="F27" s="21">
        <v>7</v>
      </c>
      <c r="G27" s="225"/>
      <c r="H27" s="22"/>
      <c r="I27" s="23" t="s">
        <v>10</v>
      </c>
      <c r="J27" s="21">
        <v>7</v>
      </c>
      <c r="K27" s="24"/>
      <c r="L27" s="115"/>
      <c r="M27" s="115"/>
      <c r="N27" s="115"/>
      <c r="O27" s="115"/>
    </row>
    <row r="28" spans="1:15" ht="18" customHeight="1" x14ac:dyDescent="0.2">
      <c r="A28" s="237">
        <v>45571</v>
      </c>
      <c r="B28" s="226" t="s">
        <v>12</v>
      </c>
      <c r="C28" s="25"/>
      <c r="D28" s="25" t="s">
        <v>7</v>
      </c>
      <c r="E28" s="26"/>
      <c r="F28" s="27">
        <v>7</v>
      </c>
      <c r="G28" s="229" t="s">
        <v>12</v>
      </c>
      <c r="H28" s="28"/>
      <c r="I28" s="28" t="s">
        <v>10</v>
      </c>
      <c r="J28" s="27">
        <v>7</v>
      </c>
      <c r="K28" s="29"/>
      <c r="L28" s="115"/>
      <c r="M28" s="115"/>
      <c r="N28" s="115"/>
      <c r="O28" s="115"/>
    </row>
    <row r="29" spans="1:15" ht="18" customHeight="1" x14ac:dyDescent="0.2">
      <c r="A29" s="238"/>
      <c r="B29" s="227"/>
      <c r="C29" s="30"/>
      <c r="D29" s="31" t="s">
        <v>7</v>
      </c>
      <c r="E29" s="32"/>
      <c r="F29" s="33">
        <v>7</v>
      </c>
      <c r="G29" s="230"/>
      <c r="H29" s="34"/>
      <c r="I29" s="35" t="s">
        <v>10</v>
      </c>
      <c r="J29" s="33">
        <v>7</v>
      </c>
      <c r="K29" s="36"/>
      <c r="L29" s="115"/>
      <c r="M29" s="115"/>
      <c r="N29" s="115"/>
      <c r="O29" s="115"/>
    </row>
    <row r="30" spans="1:15" ht="18" customHeight="1" x14ac:dyDescent="0.2">
      <c r="A30" s="238"/>
      <c r="B30" s="227"/>
      <c r="C30" s="30"/>
      <c r="D30" s="31" t="s">
        <v>7</v>
      </c>
      <c r="E30" s="32"/>
      <c r="F30" s="33">
        <v>7</v>
      </c>
      <c r="G30" s="230"/>
      <c r="H30" s="34"/>
      <c r="I30" s="35" t="s">
        <v>10</v>
      </c>
      <c r="J30" s="33">
        <v>7</v>
      </c>
      <c r="K30" s="36"/>
      <c r="L30" s="115"/>
      <c r="M30" s="115"/>
      <c r="N30" s="115"/>
      <c r="O30" s="115"/>
    </row>
    <row r="31" spans="1:15" ht="18.75" customHeight="1" thickBot="1" x14ac:dyDescent="0.25">
      <c r="A31" s="238"/>
      <c r="B31" s="228"/>
      <c r="C31" s="37"/>
      <c r="D31" s="38" t="s">
        <v>7</v>
      </c>
      <c r="E31" s="39"/>
      <c r="F31" s="40">
        <v>7</v>
      </c>
      <c r="G31" s="231"/>
      <c r="H31" s="41"/>
      <c r="I31" s="42" t="s">
        <v>10</v>
      </c>
      <c r="J31" s="40">
        <v>7</v>
      </c>
      <c r="K31" s="43"/>
      <c r="L31" s="115"/>
      <c r="M31" s="115"/>
      <c r="N31" s="115"/>
      <c r="O31" s="115"/>
    </row>
    <row r="32" spans="1:15" ht="18" customHeight="1" x14ac:dyDescent="0.2">
      <c r="A32" s="237">
        <v>45572</v>
      </c>
      <c r="B32" s="232" t="s">
        <v>13</v>
      </c>
      <c r="C32" s="44"/>
      <c r="D32" s="44" t="s">
        <v>7</v>
      </c>
      <c r="E32" s="45"/>
      <c r="F32" s="46">
        <v>7</v>
      </c>
      <c r="G32" s="185" t="s">
        <v>13</v>
      </c>
      <c r="H32" s="47"/>
      <c r="I32" s="47" t="s">
        <v>10</v>
      </c>
      <c r="J32" s="46">
        <v>7</v>
      </c>
      <c r="K32" s="48"/>
      <c r="L32" s="115"/>
      <c r="M32" s="115"/>
      <c r="N32" s="115"/>
      <c r="O32" s="115"/>
    </row>
    <row r="33" spans="1:15" ht="18" customHeight="1" x14ac:dyDescent="0.2">
      <c r="A33" s="238"/>
      <c r="B33" s="233"/>
      <c r="C33" s="49"/>
      <c r="D33" s="44" t="s">
        <v>7</v>
      </c>
      <c r="E33" s="45"/>
      <c r="F33" s="46">
        <v>7</v>
      </c>
      <c r="G33" s="235"/>
      <c r="H33" s="50"/>
      <c r="I33" s="51" t="s">
        <v>10</v>
      </c>
      <c r="J33" s="46">
        <v>7</v>
      </c>
      <c r="K33" s="52"/>
      <c r="L33" s="115"/>
      <c r="M33" s="115"/>
      <c r="N33" s="115"/>
      <c r="O33" s="115"/>
    </row>
    <row r="34" spans="1:15" ht="18" customHeight="1" x14ac:dyDescent="0.2">
      <c r="A34" s="238"/>
      <c r="B34" s="233"/>
      <c r="C34" s="49"/>
      <c r="D34" s="44" t="s">
        <v>7</v>
      </c>
      <c r="E34" s="45"/>
      <c r="F34" s="46">
        <v>7</v>
      </c>
      <c r="G34" s="235"/>
      <c r="H34" s="50"/>
      <c r="I34" s="51" t="s">
        <v>10</v>
      </c>
      <c r="J34" s="46">
        <v>7</v>
      </c>
      <c r="K34" s="52"/>
      <c r="L34" s="115"/>
      <c r="M34" s="115"/>
      <c r="N34" s="115"/>
      <c r="O34" s="115"/>
    </row>
    <row r="35" spans="1:15" ht="18.75" customHeight="1" thickBot="1" x14ac:dyDescent="0.25">
      <c r="A35" s="238"/>
      <c r="B35" s="234"/>
      <c r="C35" s="53"/>
      <c r="D35" s="54" t="s">
        <v>7</v>
      </c>
      <c r="E35" s="55"/>
      <c r="F35" s="56">
        <v>7</v>
      </c>
      <c r="G35" s="236"/>
      <c r="H35" s="57"/>
      <c r="I35" s="58" t="s">
        <v>10</v>
      </c>
      <c r="J35" s="56">
        <v>7</v>
      </c>
      <c r="K35" s="59"/>
      <c r="L35" s="115"/>
      <c r="M35" s="115"/>
      <c r="N35" s="115"/>
      <c r="O35" s="115"/>
    </row>
    <row r="36" spans="1:15" ht="18" customHeight="1" x14ac:dyDescent="0.2">
      <c r="A36" s="237">
        <v>45573</v>
      </c>
      <c r="B36" s="202" t="s">
        <v>14</v>
      </c>
      <c r="C36" s="60"/>
      <c r="D36" s="60" t="s">
        <v>7</v>
      </c>
      <c r="E36" s="61"/>
      <c r="F36" s="62">
        <v>7</v>
      </c>
      <c r="G36" s="205" t="s">
        <v>14</v>
      </c>
      <c r="H36" s="44"/>
      <c r="I36" s="44" t="s">
        <v>10</v>
      </c>
      <c r="J36" s="62">
        <v>7</v>
      </c>
      <c r="K36" s="45"/>
      <c r="L36" s="115"/>
      <c r="M36" s="115"/>
      <c r="N36" s="115"/>
      <c r="O36" s="115"/>
    </row>
    <row r="37" spans="1:15" ht="18" customHeight="1" x14ac:dyDescent="0.2">
      <c r="A37" s="238"/>
      <c r="B37" s="203"/>
      <c r="C37" s="63"/>
      <c r="D37" s="64" t="s">
        <v>7</v>
      </c>
      <c r="E37" s="65"/>
      <c r="F37" s="66">
        <v>7</v>
      </c>
      <c r="G37" s="206"/>
      <c r="H37" s="49"/>
      <c r="I37" s="44" t="s">
        <v>10</v>
      </c>
      <c r="J37" s="66">
        <v>7</v>
      </c>
      <c r="K37" s="67"/>
      <c r="L37" s="115"/>
      <c r="M37" s="115"/>
      <c r="N37" s="115"/>
      <c r="O37" s="115"/>
    </row>
    <row r="38" spans="1:15" ht="18" customHeight="1" x14ac:dyDescent="0.2">
      <c r="A38" s="238"/>
      <c r="B38" s="203"/>
      <c r="C38" s="63"/>
      <c r="D38" s="64" t="s">
        <v>7</v>
      </c>
      <c r="E38" s="65"/>
      <c r="F38" s="66">
        <v>7</v>
      </c>
      <c r="G38" s="206"/>
      <c r="H38" s="49"/>
      <c r="I38" s="44" t="s">
        <v>10</v>
      </c>
      <c r="J38" s="66">
        <v>7</v>
      </c>
      <c r="K38" s="67"/>
      <c r="L38" s="115"/>
      <c r="M38" s="115"/>
      <c r="N38" s="115"/>
      <c r="O38" s="115"/>
    </row>
    <row r="39" spans="1:15" ht="18.75" customHeight="1" thickBot="1" x14ac:dyDescent="0.25">
      <c r="A39" s="238"/>
      <c r="B39" s="204"/>
      <c r="C39" s="68"/>
      <c r="D39" s="69" t="s">
        <v>7</v>
      </c>
      <c r="E39" s="70"/>
      <c r="F39" s="71">
        <v>7</v>
      </c>
      <c r="G39" s="207"/>
      <c r="H39" s="53"/>
      <c r="I39" s="54" t="s">
        <v>10</v>
      </c>
      <c r="J39" s="71">
        <v>7</v>
      </c>
      <c r="K39" s="72"/>
      <c r="L39" s="115"/>
      <c r="M39" s="115"/>
      <c r="N39" s="115"/>
      <c r="O39" s="115"/>
    </row>
    <row r="40" spans="1:15" ht="18" customHeight="1" x14ac:dyDescent="0.2">
      <c r="A40" s="237">
        <v>45574</v>
      </c>
      <c r="B40" s="208" t="s">
        <v>15</v>
      </c>
      <c r="C40" s="16"/>
      <c r="D40" s="16" t="s">
        <v>7</v>
      </c>
      <c r="E40" s="73"/>
      <c r="F40" s="74">
        <v>7</v>
      </c>
      <c r="G40" s="211" t="s">
        <v>15</v>
      </c>
      <c r="H40" s="75"/>
      <c r="I40" s="75" t="s">
        <v>10</v>
      </c>
      <c r="J40" s="74">
        <v>7</v>
      </c>
      <c r="K40" s="76"/>
      <c r="L40" s="115"/>
      <c r="M40" s="115"/>
      <c r="N40" s="115"/>
      <c r="O40" s="115"/>
    </row>
    <row r="41" spans="1:15" ht="18" customHeight="1" x14ac:dyDescent="0.2">
      <c r="A41" s="238"/>
      <c r="B41" s="209"/>
      <c r="C41" s="15"/>
      <c r="D41" s="16" t="s">
        <v>7</v>
      </c>
      <c r="E41" s="73"/>
      <c r="F41" s="74">
        <v>7</v>
      </c>
      <c r="G41" s="212"/>
      <c r="H41" s="77"/>
      <c r="I41" s="78" t="s">
        <v>10</v>
      </c>
      <c r="J41" s="74">
        <v>7</v>
      </c>
      <c r="K41" s="79"/>
      <c r="L41" s="115"/>
      <c r="M41" s="115"/>
      <c r="N41" s="115"/>
      <c r="O41" s="115"/>
    </row>
    <row r="42" spans="1:15" ht="18" customHeight="1" x14ac:dyDescent="0.2">
      <c r="A42" s="238"/>
      <c r="B42" s="209"/>
      <c r="C42" s="15"/>
      <c r="D42" s="16" t="s">
        <v>7</v>
      </c>
      <c r="E42" s="73"/>
      <c r="F42" s="74">
        <v>7</v>
      </c>
      <c r="G42" s="212"/>
      <c r="H42" s="77"/>
      <c r="I42" s="78" t="s">
        <v>10</v>
      </c>
      <c r="J42" s="74">
        <v>7</v>
      </c>
      <c r="K42" s="79"/>
      <c r="L42" s="115"/>
      <c r="M42" s="115"/>
      <c r="N42" s="115"/>
      <c r="O42" s="115"/>
    </row>
    <row r="43" spans="1:15" ht="18.75" customHeight="1" thickBot="1" x14ac:dyDescent="0.25">
      <c r="A43" s="238"/>
      <c r="B43" s="210"/>
      <c r="C43" s="80"/>
      <c r="D43" s="81" t="s">
        <v>7</v>
      </c>
      <c r="E43" s="82"/>
      <c r="F43" s="83">
        <v>7</v>
      </c>
      <c r="G43" s="213"/>
      <c r="H43" s="84"/>
      <c r="I43" s="85" t="s">
        <v>10</v>
      </c>
      <c r="J43" s="83">
        <v>7</v>
      </c>
      <c r="K43" s="86"/>
      <c r="L43" s="115"/>
      <c r="M43" s="115"/>
      <c r="N43" s="115"/>
      <c r="O43" s="115"/>
    </row>
    <row r="44" spans="1:15" ht="18" customHeight="1" x14ac:dyDescent="0.2">
      <c r="A44" s="237">
        <v>45575</v>
      </c>
      <c r="B44" s="214" t="s">
        <v>16</v>
      </c>
      <c r="C44" s="87"/>
      <c r="D44" s="87" t="s">
        <v>7</v>
      </c>
      <c r="E44" s="88"/>
      <c r="F44" s="89">
        <v>7</v>
      </c>
      <c r="G44" s="217" t="s">
        <v>16</v>
      </c>
      <c r="H44" s="90"/>
      <c r="I44" s="90" t="s">
        <v>10</v>
      </c>
      <c r="J44" s="89">
        <v>7</v>
      </c>
      <c r="K44" s="91"/>
      <c r="L44" s="115"/>
      <c r="M44" s="115"/>
      <c r="N44" s="115"/>
      <c r="O44" s="115"/>
    </row>
    <row r="45" spans="1:15" ht="18" customHeight="1" x14ac:dyDescent="0.2">
      <c r="A45" s="238"/>
      <c r="B45" s="215"/>
      <c r="C45" s="92"/>
      <c r="D45" s="93" t="s">
        <v>7</v>
      </c>
      <c r="E45" s="94"/>
      <c r="F45" s="95">
        <v>7</v>
      </c>
      <c r="G45" s="218"/>
      <c r="H45" s="96"/>
      <c r="I45" s="97" t="s">
        <v>10</v>
      </c>
      <c r="J45" s="95">
        <v>7</v>
      </c>
      <c r="K45" s="98"/>
      <c r="L45" s="115"/>
      <c r="M45" s="115"/>
      <c r="N45" s="115"/>
      <c r="O45" s="115"/>
    </row>
    <row r="46" spans="1:15" ht="18" customHeight="1" x14ac:dyDescent="0.2">
      <c r="A46" s="238"/>
      <c r="B46" s="215"/>
      <c r="C46" s="92"/>
      <c r="D46" s="93" t="s">
        <v>7</v>
      </c>
      <c r="E46" s="94"/>
      <c r="F46" s="95">
        <v>7</v>
      </c>
      <c r="G46" s="218"/>
      <c r="H46" s="96"/>
      <c r="I46" s="97" t="s">
        <v>10</v>
      </c>
      <c r="J46" s="95">
        <v>7</v>
      </c>
      <c r="K46" s="98"/>
      <c r="L46" s="115"/>
      <c r="M46" s="115"/>
      <c r="N46" s="115"/>
      <c r="O46" s="115"/>
    </row>
    <row r="47" spans="1:15" ht="18.75" customHeight="1" thickBot="1" x14ac:dyDescent="0.25">
      <c r="A47" s="238"/>
      <c r="B47" s="216"/>
      <c r="C47" s="99"/>
      <c r="D47" s="100" t="s">
        <v>7</v>
      </c>
      <c r="E47" s="101"/>
      <c r="F47" s="102">
        <v>7</v>
      </c>
      <c r="G47" s="219"/>
      <c r="H47" s="103"/>
      <c r="I47" s="104" t="s">
        <v>10</v>
      </c>
      <c r="J47" s="102">
        <v>7</v>
      </c>
      <c r="K47" s="105"/>
      <c r="L47" s="115"/>
      <c r="M47" s="115"/>
      <c r="N47" s="115"/>
      <c r="O47" s="115"/>
    </row>
    <row r="48" spans="1:15" ht="23.25" x14ac:dyDescent="0.35">
      <c r="A48" s="118"/>
      <c r="B48" s="106"/>
      <c r="C48" s="107"/>
      <c r="D48" s="194" t="s">
        <v>20</v>
      </c>
      <c r="E48" s="195"/>
      <c r="F48" s="108">
        <f>SUM(F24:F47)</f>
        <v>168</v>
      </c>
      <c r="G48" s="107"/>
      <c r="H48" s="185" t="s">
        <v>20</v>
      </c>
      <c r="I48" s="186"/>
      <c r="J48" s="108">
        <f>SUM(J24:J47)</f>
        <v>168</v>
      </c>
      <c r="K48" s="109"/>
      <c r="L48" s="115"/>
      <c r="M48" s="115"/>
      <c r="N48" s="115"/>
      <c r="O48" s="115"/>
    </row>
    <row r="49" spans="1:15" ht="24" thickBot="1" x14ac:dyDescent="0.4">
      <c r="A49" s="119"/>
      <c r="B49" s="110"/>
      <c r="C49" s="111"/>
      <c r="D49" s="187" t="s">
        <v>21</v>
      </c>
      <c r="E49" s="188"/>
      <c r="F49" s="112">
        <f>F48/240*1</f>
        <v>0.7</v>
      </c>
      <c r="G49" s="111"/>
      <c r="H49" s="189" t="s">
        <v>22</v>
      </c>
      <c r="I49" s="190"/>
      <c r="J49" s="113">
        <f>J48/240*1</f>
        <v>0.7</v>
      </c>
      <c r="K49" s="114"/>
      <c r="L49" s="115"/>
      <c r="M49" s="115"/>
      <c r="N49" s="115"/>
      <c r="O49" s="115"/>
    </row>
    <row r="50" spans="1:15" ht="24" thickBot="1" x14ac:dyDescent="0.4">
      <c r="A50" s="120">
        <v>3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</row>
    <row r="51" spans="1:15" ht="21" thickBot="1" x14ac:dyDescent="0.35">
      <c r="A51" s="244" t="s">
        <v>25</v>
      </c>
      <c r="B51" s="191" t="s">
        <v>0</v>
      </c>
      <c r="C51" s="192"/>
      <c r="D51" s="192"/>
      <c r="E51" s="192"/>
      <c r="F51" s="192"/>
      <c r="G51" s="192"/>
      <c r="H51" s="192"/>
      <c r="I51" s="192"/>
      <c r="J51" s="192"/>
      <c r="K51" s="193"/>
      <c r="L51" s="115"/>
      <c r="M51" s="115"/>
      <c r="N51" s="115"/>
      <c r="O51" s="115"/>
    </row>
    <row r="52" spans="1:15" ht="21" thickBot="1" x14ac:dyDescent="0.35">
      <c r="A52" s="245"/>
      <c r="B52" s="196" t="s">
        <v>17</v>
      </c>
      <c r="C52" s="197"/>
      <c r="D52" s="197"/>
      <c r="E52" s="197"/>
      <c r="F52" s="198"/>
      <c r="G52" s="199" t="s">
        <v>1</v>
      </c>
      <c r="H52" s="200"/>
      <c r="I52" s="200"/>
      <c r="J52" s="200"/>
      <c r="K52" s="201"/>
      <c r="L52" s="115"/>
      <c r="M52" s="115"/>
      <c r="N52" s="115"/>
      <c r="O52" s="115"/>
    </row>
    <row r="53" spans="1:15" ht="41.25" thickBot="1" x14ac:dyDescent="0.25">
      <c r="A53" s="246"/>
      <c r="B53" s="2" t="s">
        <v>2</v>
      </c>
      <c r="C53" s="3" t="s">
        <v>6</v>
      </c>
      <c r="D53" s="3" t="s">
        <v>7</v>
      </c>
      <c r="E53" s="3" t="s">
        <v>8</v>
      </c>
      <c r="F53" s="4" t="s">
        <v>19</v>
      </c>
      <c r="G53" s="5" t="s">
        <v>2</v>
      </c>
      <c r="H53" s="6" t="s">
        <v>3</v>
      </c>
      <c r="I53" s="6" t="s">
        <v>4</v>
      </c>
      <c r="J53" s="7" t="s">
        <v>18</v>
      </c>
      <c r="K53" s="8" t="s">
        <v>5</v>
      </c>
      <c r="L53" s="115"/>
      <c r="M53" s="115"/>
      <c r="N53" s="115"/>
      <c r="O53" s="115"/>
    </row>
    <row r="54" spans="1:15" ht="18" x14ac:dyDescent="0.2">
      <c r="A54" s="237">
        <v>45577</v>
      </c>
      <c r="B54" s="220" t="s">
        <v>9</v>
      </c>
      <c r="C54" s="9"/>
      <c r="D54" s="9" t="s">
        <v>7</v>
      </c>
      <c r="E54" s="10"/>
      <c r="F54" s="11">
        <v>7</v>
      </c>
      <c r="G54" s="223" t="s">
        <v>9</v>
      </c>
      <c r="H54" s="12"/>
      <c r="I54" s="12" t="s">
        <v>10</v>
      </c>
      <c r="J54" s="11">
        <v>7</v>
      </c>
      <c r="K54" s="13"/>
      <c r="L54" s="115"/>
      <c r="M54" s="115"/>
      <c r="N54" s="115"/>
      <c r="O54" s="115"/>
    </row>
    <row r="55" spans="1:15" ht="18" x14ac:dyDescent="0.2">
      <c r="A55" s="238"/>
      <c r="B55" s="221"/>
      <c r="C55" s="14"/>
      <c r="D55" s="9" t="s">
        <v>7</v>
      </c>
      <c r="E55" s="10"/>
      <c r="F55" s="11">
        <v>7</v>
      </c>
      <c r="G55" s="224"/>
      <c r="H55" s="15"/>
      <c r="I55" s="16" t="s">
        <v>10</v>
      </c>
      <c r="J55" s="11">
        <v>7</v>
      </c>
      <c r="K55" s="17"/>
      <c r="L55" s="115"/>
      <c r="M55" s="115"/>
      <c r="N55" s="115"/>
      <c r="O55" s="115"/>
    </row>
    <row r="56" spans="1:15" ht="18" x14ac:dyDescent="0.2">
      <c r="A56" s="238"/>
      <c r="B56" s="221"/>
      <c r="C56" s="14"/>
      <c r="D56" s="9" t="s">
        <v>7</v>
      </c>
      <c r="E56" s="10"/>
      <c r="F56" s="11">
        <v>7</v>
      </c>
      <c r="G56" s="224"/>
      <c r="H56" s="15"/>
      <c r="I56" s="16" t="s">
        <v>10</v>
      </c>
      <c r="J56" s="11">
        <v>7</v>
      </c>
      <c r="K56" s="17"/>
      <c r="L56" s="115"/>
      <c r="M56" s="115"/>
      <c r="N56" s="115"/>
      <c r="O56" s="115"/>
    </row>
    <row r="57" spans="1:15" ht="18.75" thickBot="1" x14ac:dyDescent="0.25">
      <c r="A57" s="238"/>
      <c r="B57" s="222"/>
      <c r="C57" s="18"/>
      <c r="D57" s="19" t="s">
        <v>7</v>
      </c>
      <c r="E57" s="20"/>
      <c r="F57" s="21">
        <v>7</v>
      </c>
      <c r="G57" s="225"/>
      <c r="H57" s="22"/>
      <c r="I57" s="23" t="s">
        <v>10</v>
      </c>
      <c r="J57" s="21">
        <v>7</v>
      </c>
      <c r="K57" s="24"/>
      <c r="L57" s="115"/>
      <c r="M57" s="115"/>
      <c r="N57" s="115"/>
      <c r="O57" s="115"/>
    </row>
    <row r="58" spans="1:15" ht="18" customHeight="1" x14ac:dyDescent="0.2">
      <c r="A58" s="237">
        <v>45578</v>
      </c>
      <c r="B58" s="226" t="s">
        <v>12</v>
      </c>
      <c r="C58" s="25"/>
      <c r="D58" s="25" t="s">
        <v>7</v>
      </c>
      <c r="E58" s="26"/>
      <c r="F58" s="27">
        <v>7</v>
      </c>
      <c r="G58" s="229" t="s">
        <v>12</v>
      </c>
      <c r="H58" s="28"/>
      <c r="I58" s="28" t="s">
        <v>10</v>
      </c>
      <c r="J58" s="27">
        <v>7</v>
      </c>
      <c r="K58" s="29"/>
      <c r="L58" s="115"/>
      <c r="M58" s="115"/>
      <c r="N58" s="115"/>
      <c r="O58" s="115"/>
    </row>
    <row r="59" spans="1:15" ht="18" customHeight="1" x14ac:dyDescent="0.2">
      <c r="A59" s="238"/>
      <c r="B59" s="227"/>
      <c r="C59" s="30"/>
      <c r="D59" s="31" t="s">
        <v>7</v>
      </c>
      <c r="E59" s="32"/>
      <c r="F59" s="33">
        <v>7</v>
      </c>
      <c r="G59" s="230"/>
      <c r="H59" s="34"/>
      <c r="I59" s="35" t="s">
        <v>10</v>
      </c>
      <c r="J59" s="33">
        <v>7</v>
      </c>
      <c r="K59" s="36"/>
      <c r="L59" s="115"/>
      <c r="M59" s="115"/>
      <c r="N59" s="115"/>
      <c r="O59" s="115"/>
    </row>
    <row r="60" spans="1:15" ht="18" customHeight="1" x14ac:dyDescent="0.2">
      <c r="A60" s="238"/>
      <c r="B60" s="227"/>
      <c r="C60" s="30"/>
      <c r="D60" s="31" t="s">
        <v>7</v>
      </c>
      <c r="E60" s="32"/>
      <c r="F60" s="33">
        <v>7</v>
      </c>
      <c r="G60" s="230"/>
      <c r="H60" s="34"/>
      <c r="I60" s="35" t="s">
        <v>10</v>
      </c>
      <c r="J60" s="33">
        <v>7</v>
      </c>
      <c r="K60" s="36"/>
      <c r="L60" s="115"/>
      <c r="M60" s="115"/>
      <c r="N60" s="115"/>
      <c r="O60" s="115"/>
    </row>
    <row r="61" spans="1:15" ht="18.75" customHeight="1" thickBot="1" x14ac:dyDescent="0.25">
      <c r="A61" s="238"/>
      <c r="B61" s="228"/>
      <c r="C61" s="37"/>
      <c r="D61" s="38" t="s">
        <v>7</v>
      </c>
      <c r="E61" s="39"/>
      <c r="F61" s="40">
        <v>7</v>
      </c>
      <c r="G61" s="231"/>
      <c r="H61" s="41"/>
      <c r="I61" s="42" t="s">
        <v>10</v>
      </c>
      <c r="J61" s="40">
        <v>7</v>
      </c>
      <c r="K61" s="43"/>
      <c r="L61" s="115"/>
      <c r="M61" s="115"/>
      <c r="N61" s="115"/>
      <c r="O61" s="115"/>
    </row>
    <row r="62" spans="1:15" ht="18" customHeight="1" x14ac:dyDescent="0.2">
      <c r="A62" s="237">
        <v>45579</v>
      </c>
      <c r="B62" s="232" t="s">
        <v>13</v>
      </c>
      <c r="C62" s="44"/>
      <c r="D62" s="44" t="s">
        <v>7</v>
      </c>
      <c r="E62" s="45"/>
      <c r="F62" s="46">
        <v>7</v>
      </c>
      <c r="G62" s="185" t="s">
        <v>13</v>
      </c>
      <c r="H62" s="47"/>
      <c r="I62" s="47" t="s">
        <v>10</v>
      </c>
      <c r="J62" s="46">
        <v>7</v>
      </c>
      <c r="K62" s="48"/>
      <c r="L62" s="115"/>
      <c r="M62" s="115"/>
      <c r="N62" s="115"/>
      <c r="O62" s="115"/>
    </row>
    <row r="63" spans="1:15" ht="18" customHeight="1" x14ac:dyDescent="0.2">
      <c r="A63" s="238"/>
      <c r="B63" s="233"/>
      <c r="C63" s="49"/>
      <c r="D63" s="44" t="s">
        <v>7</v>
      </c>
      <c r="E63" s="45"/>
      <c r="F63" s="46">
        <v>7</v>
      </c>
      <c r="G63" s="235"/>
      <c r="H63" s="50"/>
      <c r="I63" s="51" t="s">
        <v>10</v>
      </c>
      <c r="J63" s="46">
        <v>7</v>
      </c>
      <c r="K63" s="52"/>
      <c r="L63" s="115"/>
      <c r="M63" s="115"/>
      <c r="N63" s="115"/>
      <c r="O63" s="115"/>
    </row>
    <row r="64" spans="1:15" ht="18" customHeight="1" x14ac:dyDescent="0.2">
      <c r="A64" s="238"/>
      <c r="B64" s="233"/>
      <c r="C64" s="49"/>
      <c r="D64" s="44" t="s">
        <v>7</v>
      </c>
      <c r="E64" s="45"/>
      <c r="F64" s="46">
        <v>7</v>
      </c>
      <c r="G64" s="235"/>
      <c r="H64" s="50"/>
      <c r="I64" s="51" t="s">
        <v>10</v>
      </c>
      <c r="J64" s="46">
        <v>7</v>
      </c>
      <c r="K64" s="52"/>
      <c r="L64" s="115"/>
      <c r="M64" s="115"/>
      <c r="N64" s="115"/>
      <c r="O64" s="115"/>
    </row>
    <row r="65" spans="1:15" ht="18.75" customHeight="1" thickBot="1" x14ac:dyDescent="0.25">
      <c r="A65" s="238"/>
      <c r="B65" s="234"/>
      <c r="C65" s="53"/>
      <c r="D65" s="54" t="s">
        <v>7</v>
      </c>
      <c r="E65" s="55"/>
      <c r="F65" s="56">
        <v>7</v>
      </c>
      <c r="G65" s="236"/>
      <c r="H65" s="57"/>
      <c r="I65" s="58" t="s">
        <v>10</v>
      </c>
      <c r="J65" s="56">
        <v>7</v>
      </c>
      <c r="K65" s="59"/>
      <c r="L65" s="115"/>
      <c r="M65" s="115"/>
      <c r="N65" s="115"/>
      <c r="O65" s="115"/>
    </row>
    <row r="66" spans="1:15" ht="18" customHeight="1" x14ac:dyDescent="0.2">
      <c r="A66" s="237">
        <v>45580</v>
      </c>
      <c r="B66" s="202" t="s">
        <v>14</v>
      </c>
      <c r="C66" s="60"/>
      <c r="D66" s="60" t="s">
        <v>7</v>
      </c>
      <c r="E66" s="61"/>
      <c r="F66" s="62">
        <v>7</v>
      </c>
      <c r="G66" s="205" t="s">
        <v>14</v>
      </c>
      <c r="H66" s="44"/>
      <c r="I66" s="44" t="s">
        <v>10</v>
      </c>
      <c r="J66" s="62">
        <v>7</v>
      </c>
      <c r="K66" s="45"/>
      <c r="L66" s="115"/>
      <c r="M66" s="115"/>
      <c r="N66" s="115"/>
      <c r="O66" s="115"/>
    </row>
    <row r="67" spans="1:15" ht="18" customHeight="1" x14ac:dyDescent="0.2">
      <c r="A67" s="238"/>
      <c r="B67" s="203"/>
      <c r="C67" s="63"/>
      <c r="D67" s="64" t="s">
        <v>7</v>
      </c>
      <c r="E67" s="65"/>
      <c r="F67" s="66">
        <v>7</v>
      </c>
      <c r="G67" s="206"/>
      <c r="H67" s="49"/>
      <c r="I67" s="44" t="s">
        <v>10</v>
      </c>
      <c r="J67" s="66">
        <v>7</v>
      </c>
      <c r="K67" s="67"/>
      <c r="L67" s="115"/>
      <c r="M67" s="115"/>
      <c r="N67" s="115"/>
      <c r="O67" s="115"/>
    </row>
    <row r="68" spans="1:15" ht="18" customHeight="1" x14ac:dyDescent="0.2">
      <c r="A68" s="238"/>
      <c r="B68" s="203"/>
      <c r="C68" s="63"/>
      <c r="D68" s="64" t="s">
        <v>7</v>
      </c>
      <c r="E68" s="65"/>
      <c r="F68" s="66">
        <v>7</v>
      </c>
      <c r="G68" s="206"/>
      <c r="H68" s="49"/>
      <c r="I68" s="44" t="s">
        <v>10</v>
      </c>
      <c r="J68" s="66">
        <v>7</v>
      </c>
      <c r="K68" s="67"/>
      <c r="L68" s="115"/>
      <c r="M68" s="115"/>
      <c r="N68" s="115"/>
      <c r="O68" s="115"/>
    </row>
    <row r="69" spans="1:15" ht="18.75" customHeight="1" thickBot="1" x14ac:dyDescent="0.25">
      <c r="A69" s="238"/>
      <c r="B69" s="204"/>
      <c r="C69" s="68"/>
      <c r="D69" s="69" t="s">
        <v>7</v>
      </c>
      <c r="E69" s="70"/>
      <c r="F69" s="71">
        <v>7</v>
      </c>
      <c r="G69" s="207"/>
      <c r="H69" s="53"/>
      <c r="I69" s="54" t="s">
        <v>10</v>
      </c>
      <c r="J69" s="71">
        <v>7</v>
      </c>
      <c r="K69" s="72"/>
      <c r="L69" s="115"/>
      <c r="M69" s="115"/>
      <c r="N69" s="115"/>
      <c r="O69" s="115"/>
    </row>
    <row r="70" spans="1:15" ht="18" customHeight="1" x14ac:dyDescent="0.2">
      <c r="A70" s="237">
        <v>45581</v>
      </c>
      <c r="B70" s="208" t="s">
        <v>15</v>
      </c>
      <c r="C70" s="16"/>
      <c r="D70" s="16" t="s">
        <v>7</v>
      </c>
      <c r="E70" s="73"/>
      <c r="F70" s="74">
        <v>7</v>
      </c>
      <c r="G70" s="211" t="s">
        <v>15</v>
      </c>
      <c r="H70" s="75"/>
      <c r="I70" s="75" t="s">
        <v>10</v>
      </c>
      <c r="J70" s="74">
        <v>7</v>
      </c>
      <c r="K70" s="76"/>
      <c r="L70" s="115"/>
      <c r="M70" s="115"/>
      <c r="N70" s="115"/>
      <c r="O70" s="115"/>
    </row>
    <row r="71" spans="1:15" ht="18" customHeight="1" x14ac:dyDescent="0.2">
      <c r="A71" s="238"/>
      <c r="B71" s="209"/>
      <c r="C71" s="15"/>
      <c r="D71" s="16" t="s">
        <v>7</v>
      </c>
      <c r="E71" s="73"/>
      <c r="F71" s="74">
        <v>7</v>
      </c>
      <c r="G71" s="212"/>
      <c r="H71" s="77"/>
      <c r="I71" s="78" t="s">
        <v>10</v>
      </c>
      <c r="J71" s="74">
        <v>7</v>
      </c>
      <c r="K71" s="79"/>
      <c r="L71" s="115"/>
      <c r="M71" s="115"/>
      <c r="N71" s="115"/>
      <c r="O71" s="115"/>
    </row>
    <row r="72" spans="1:15" ht="18" customHeight="1" x14ac:dyDescent="0.2">
      <c r="A72" s="238"/>
      <c r="B72" s="209"/>
      <c r="C72" s="15"/>
      <c r="D72" s="16" t="s">
        <v>7</v>
      </c>
      <c r="E72" s="73"/>
      <c r="F72" s="74">
        <v>7</v>
      </c>
      <c r="G72" s="212"/>
      <c r="H72" s="77"/>
      <c r="I72" s="78" t="s">
        <v>10</v>
      </c>
      <c r="J72" s="74">
        <v>7</v>
      </c>
      <c r="K72" s="79"/>
      <c r="L72" s="115"/>
      <c r="M72" s="115"/>
      <c r="N72" s="115"/>
      <c r="O72" s="115"/>
    </row>
    <row r="73" spans="1:15" ht="18.75" customHeight="1" thickBot="1" x14ac:dyDescent="0.25">
      <c r="A73" s="238"/>
      <c r="B73" s="210"/>
      <c r="C73" s="80"/>
      <c r="D73" s="81" t="s">
        <v>7</v>
      </c>
      <c r="E73" s="82"/>
      <c r="F73" s="83">
        <v>7</v>
      </c>
      <c r="G73" s="213"/>
      <c r="H73" s="84"/>
      <c r="I73" s="85" t="s">
        <v>10</v>
      </c>
      <c r="J73" s="83">
        <v>7</v>
      </c>
      <c r="K73" s="86"/>
      <c r="L73" s="115"/>
      <c r="M73" s="115"/>
      <c r="N73" s="115"/>
      <c r="O73" s="115"/>
    </row>
    <row r="74" spans="1:15" ht="18" customHeight="1" x14ac:dyDescent="0.2">
      <c r="A74" s="237">
        <v>45582</v>
      </c>
      <c r="B74" s="214" t="s">
        <v>16</v>
      </c>
      <c r="C74" s="87"/>
      <c r="D74" s="87" t="s">
        <v>7</v>
      </c>
      <c r="E74" s="88"/>
      <c r="F74" s="89">
        <v>7</v>
      </c>
      <c r="G74" s="217" t="s">
        <v>16</v>
      </c>
      <c r="H74" s="90"/>
      <c r="I74" s="90" t="s">
        <v>10</v>
      </c>
      <c r="J74" s="89">
        <v>0</v>
      </c>
      <c r="K74" s="91"/>
      <c r="L74" s="115"/>
      <c r="M74" s="115"/>
      <c r="N74" s="115"/>
      <c r="O74" s="115"/>
    </row>
    <row r="75" spans="1:15" ht="18" customHeight="1" x14ac:dyDescent="0.2">
      <c r="A75" s="238"/>
      <c r="B75" s="215"/>
      <c r="C75" s="92"/>
      <c r="D75" s="93" t="s">
        <v>7</v>
      </c>
      <c r="E75" s="94"/>
      <c r="F75" s="95">
        <v>7</v>
      </c>
      <c r="G75" s="218"/>
      <c r="H75" s="96"/>
      <c r="I75" s="97" t="s">
        <v>10</v>
      </c>
      <c r="J75" s="95">
        <v>7</v>
      </c>
      <c r="K75" s="98"/>
      <c r="L75" s="115"/>
      <c r="M75" s="115"/>
      <c r="N75" s="115"/>
      <c r="O75" s="115"/>
    </row>
    <row r="76" spans="1:15" ht="18" customHeight="1" x14ac:dyDescent="0.2">
      <c r="A76" s="238"/>
      <c r="B76" s="215"/>
      <c r="C76" s="92"/>
      <c r="D76" s="93" t="s">
        <v>7</v>
      </c>
      <c r="E76" s="94"/>
      <c r="F76" s="95">
        <v>7</v>
      </c>
      <c r="G76" s="218"/>
      <c r="H76" s="96"/>
      <c r="I76" s="97" t="s">
        <v>10</v>
      </c>
      <c r="J76" s="95">
        <v>7</v>
      </c>
      <c r="K76" s="98"/>
      <c r="L76" s="115"/>
      <c r="M76" s="115"/>
      <c r="N76" s="115"/>
      <c r="O76" s="115"/>
    </row>
    <row r="77" spans="1:15" ht="18.75" customHeight="1" thickBot="1" x14ac:dyDescent="0.25">
      <c r="A77" s="238"/>
      <c r="B77" s="216"/>
      <c r="C77" s="99"/>
      <c r="D77" s="100" t="s">
        <v>7</v>
      </c>
      <c r="E77" s="101"/>
      <c r="F77" s="102">
        <v>7</v>
      </c>
      <c r="G77" s="219"/>
      <c r="H77" s="103"/>
      <c r="I77" s="104" t="s">
        <v>10</v>
      </c>
      <c r="J77" s="102">
        <v>7</v>
      </c>
      <c r="K77" s="105"/>
      <c r="L77" s="115"/>
      <c r="M77" s="115"/>
      <c r="N77" s="115"/>
      <c r="O77" s="115"/>
    </row>
    <row r="78" spans="1:15" ht="23.25" x14ac:dyDescent="0.35">
      <c r="A78" s="118"/>
      <c r="B78" s="106"/>
      <c r="C78" s="107"/>
      <c r="D78" s="194" t="s">
        <v>20</v>
      </c>
      <c r="E78" s="195"/>
      <c r="F78" s="108">
        <f>SUM(F54:F77)</f>
        <v>168</v>
      </c>
      <c r="G78" s="107"/>
      <c r="H78" s="185" t="s">
        <v>20</v>
      </c>
      <c r="I78" s="186"/>
      <c r="J78" s="108">
        <f>SUM(J54:J77)</f>
        <v>161</v>
      </c>
      <c r="K78" s="109"/>
      <c r="L78" s="115"/>
      <c r="M78" s="115"/>
      <c r="N78" s="115"/>
      <c r="O78" s="115"/>
    </row>
    <row r="79" spans="1:15" ht="24" thickBot="1" x14ac:dyDescent="0.4">
      <c r="A79" s="119"/>
      <c r="B79" s="110"/>
      <c r="C79" s="111"/>
      <c r="D79" s="187" t="s">
        <v>21</v>
      </c>
      <c r="E79" s="188"/>
      <c r="F79" s="112">
        <f>F78/240*1</f>
        <v>0.7</v>
      </c>
      <c r="G79" s="111"/>
      <c r="H79" s="189" t="s">
        <v>22</v>
      </c>
      <c r="I79" s="190"/>
      <c r="J79" s="113">
        <f>J78/240*1</f>
        <v>0.67083333333333328</v>
      </c>
      <c r="K79" s="114"/>
      <c r="L79" s="115"/>
      <c r="M79" s="115"/>
      <c r="N79" s="115"/>
      <c r="O79" s="115"/>
    </row>
    <row r="80" spans="1:15" ht="24" thickBot="1" x14ac:dyDescent="0.4">
      <c r="A80" s="120">
        <v>4</v>
      </c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</row>
    <row r="81" spans="1:15" ht="21" thickBot="1" x14ac:dyDescent="0.35">
      <c r="A81" s="244" t="s">
        <v>25</v>
      </c>
      <c r="B81" s="191" t="s">
        <v>0</v>
      </c>
      <c r="C81" s="192"/>
      <c r="D81" s="192"/>
      <c r="E81" s="192"/>
      <c r="F81" s="192"/>
      <c r="G81" s="192"/>
      <c r="H81" s="192"/>
      <c r="I81" s="192"/>
      <c r="J81" s="192"/>
      <c r="K81" s="193"/>
      <c r="L81" s="115"/>
      <c r="M81" s="115"/>
      <c r="N81" s="115"/>
      <c r="O81" s="115"/>
    </row>
    <row r="82" spans="1:15" ht="21" thickBot="1" x14ac:dyDescent="0.35">
      <c r="A82" s="245"/>
      <c r="B82" s="196" t="s">
        <v>17</v>
      </c>
      <c r="C82" s="197"/>
      <c r="D82" s="197"/>
      <c r="E82" s="197"/>
      <c r="F82" s="198"/>
      <c r="G82" s="199" t="s">
        <v>1</v>
      </c>
      <c r="H82" s="200"/>
      <c r="I82" s="200"/>
      <c r="J82" s="200"/>
      <c r="K82" s="201"/>
      <c r="L82" s="115"/>
      <c r="M82" s="115"/>
      <c r="N82" s="115"/>
      <c r="O82" s="115"/>
    </row>
    <row r="83" spans="1:15" ht="41.25" thickBot="1" x14ac:dyDescent="0.25">
      <c r="A83" s="246"/>
      <c r="B83" s="2" t="s">
        <v>2</v>
      </c>
      <c r="C83" s="3" t="s">
        <v>6</v>
      </c>
      <c r="D83" s="3" t="s">
        <v>7</v>
      </c>
      <c r="E83" s="3" t="s">
        <v>8</v>
      </c>
      <c r="F83" s="4" t="s">
        <v>19</v>
      </c>
      <c r="G83" s="5" t="s">
        <v>2</v>
      </c>
      <c r="H83" s="6" t="s">
        <v>3</v>
      </c>
      <c r="I83" s="6" t="s">
        <v>4</v>
      </c>
      <c r="J83" s="7" t="s">
        <v>18</v>
      </c>
      <c r="K83" s="8" t="s">
        <v>5</v>
      </c>
      <c r="L83" s="115"/>
      <c r="M83" s="115"/>
      <c r="N83" s="115"/>
      <c r="O83" s="115"/>
    </row>
    <row r="84" spans="1:15" ht="18" x14ac:dyDescent="0.2">
      <c r="A84" s="237">
        <v>45584</v>
      </c>
      <c r="B84" s="220" t="s">
        <v>9</v>
      </c>
      <c r="C84" s="9"/>
      <c r="D84" s="9" t="s">
        <v>7</v>
      </c>
      <c r="E84" s="10"/>
      <c r="F84" s="11">
        <v>7</v>
      </c>
      <c r="G84" s="223" t="s">
        <v>9</v>
      </c>
      <c r="H84" s="12"/>
      <c r="I84" s="12" t="s">
        <v>10</v>
      </c>
      <c r="J84" s="11">
        <v>7</v>
      </c>
      <c r="K84" s="13"/>
      <c r="L84" s="115"/>
      <c r="M84" s="115"/>
      <c r="N84" s="115"/>
      <c r="O84" s="115"/>
    </row>
    <row r="85" spans="1:15" ht="18" x14ac:dyDescent="0.2">
      <c r="A85" s="238"/>
      <c r="B85" s="221"/>
      <c r="C85" s="14"/>
      <c r="D85" s="9" t="s">
        <v>7</v>
      </c>
      <c r="E85" s="10"/>
      <c r="F85" s="11">
        <v>7</v>
      </c>
      <c r="G85" s="224"/>
      <c r="H85" s="15"/>
      <c r="I85" s="16" t="s">
        <v>10</v>
      </c>
      <c r="J85" s="11">
        <v>7</v>
      </c>
      <c r="K85" s="17"/>
      <c r="L85" s="115"/>
      <c r="M85" s="115"/>
      <c r="N85" s="115"/>
      <c r="O85" s="115"/>
    </row>
    <row r="86" spans="1:15" ht="18" x14ac:dyDescent="0.2">
      <c r="A86" s="238"/>
      <c r="B86" s="221"/>
      <c r="C86" s="14"/>
      <c r="D86" s="9" t="s">
        <v>7</v>
      </c>
      <c r="E86" s="10"/>
      <c r="F86" s="11">
        <v>7</v>
      </c>
      <c r="G86" s="224"/>
      <c r="H86" s="15"/>
      <c r="I86" s="16" t="s">
        <v>10</v>
      </c>
      <c r="J86" s="11">
        <v>7</v>
      </c>
      <c r="K86" s="17"/>
      <c r="L86" s="115"/>
      <c r="M86" s="115"/>
      <c r="N86" s="115"/>
      <c r="O86" s="115"/>
    </row>
    <row r="87" spans="1:15" ht="18.75" thickBot="1" x14ac:dyDescent="0.25">
      <c r="A87" s="238"/>
      <c r="B87" s="222"/>
      <c r="C87" s="18"/>
      <c r="D87" s="19" t="s">
        <v>7</v>
      </c>
      <c r="E87" s="20"/>
      <c r="F87" s="21">
        <v>7</v>
      </c>
      <c r="G87" s="225"/>
      <c r="H87" s="22"/>
      <c r="I87" s="23" t="s">
        <v>10</v>
      </c>
      <c r="J87" s="21">
        <v>7</v>
      </c>
      <c r="K87" s="24"/>
      <c r="L87" s="115"/>
      <c r="M87" s="115"/>
      <c r="N87" s="115"/>
      <c r="O87" s="115"/>
    </row>
    <row r="88" spans="1:15" ht="18" customHeight="1" x14ac:dyDescent="0.2">
      <c r="A88" s="237">
        <v>45585</v>
      </c>
      <c r="B88" s="226" t="s">
        <v>12</v>
      </c>
      <c r="C88" s="25"/>
      <c r="D88" s="25" t="s">
        <v>7</v>
      </c>
      <c r="E88" s="26"/>
      <c r="F88" s="27">
        <v>7</v>
      </c>
      <c r="G88" s="229" t="s">
        <v>12</v>
      </c>
      <c r="H88" s="28"/>
      <c r="I88" s="28" t="s">
        <v>10</v>
      </c>
      <c r="J88" s="27">
        <v>7</v>
      </c>
      <c r="K88" s="29"/>
      <c r="L88" s="115"/>
      <c r="M88" s="115"/>
      <c r="N88" s="115"/>
      <c r="O88" s="115"/>
    </row>
    <row r="89" spans="1:15" ht="18" customHeight="1" x14ac:dyDescent="0.2">
      <c r="A89" s="238"/>
      <c r="B89" s="227"/>
      <c r="C89" s="30"/>
      <c r="D89" s="31" t="s">
        <v>7</v>
      </c>
      <c r="E89" s="32"/>
      <c r="F89" s="33">
        <v>7</v>
      </c>
      <c r="G89" s="230"/>
      <c r="H89" s="34"/>
      <c r="I89" s="35" t="s">
        <v>10</v>
      </c>
      <c r="J89" s="33">
        <v>7</v>
      </c>
      <c r="K89" s="36"/>
      <c r="L89" s="115"/>
      <c r="M89" s="115"/>
      <c r="N89" s="115"/>
      <c r="O89" s="115"/>
    </row>
    <row r="90" spans="1:15" ht="18" customHeight="1" x14ac:dyDescent="0.2">
      <c r="A90" s="238"/>
      <c r="B90" s="227"/>
      <c r="C90" s="30"/>
      <c r="D90" s="31" t="s">
        <v>7</v>
      </c>
      <c r="E90" s="32"/>
      <c r="F90" s="33">
        <v>7</v>
      </c>
      <c r="G90" s="230"/>
      <c r="H90" s="34"/>
      <c r="I90" s="35" t="s">
        <v>10</v>
      </c>
      <c r="J90" s="33">
        <v>7</v>
      </c>
      <c r="K90" s="36"/>
      <c r="L90" s="115"/>
      <c r="M90" s="115"/>
      <c r="N90" s="115"/>
      <c r="O90" s="115"/>
    </row>
    <row r="91" spans="1:15" ht="18.75" customHeight="1" thickBot="1" x14ac:dyDescent="0.25">
      <c r="A91" s="238"/>
      <c r="B91" s="228"/>
      <c r="C91" s="37"/>
      <c r="D91" s="38" t="s">
        <v>7</v>
      </c>
      <c r="E91" s="39"/>
      <c r="F91" s="40">
        <v>7</v>
      </c>
      <c r="G91" s="231"/>
      <c r="H91" s="41"/>
      <c r="I91" s="42" t="s">
        <v>10</v>
      </c>
      <c r="J91" s="40">
        <v>7</v>
      </c>
      <c r="K91" s="43"/>
      <c r="L91" s="115"/>
      <c r="M91" s="115"/>
      <c r="N91" s="115"/>
      <c r="O91" s="115"/>
    </row>
    <row r="92" spans="1:15" ht="18" customHeight="1" x14ac:dyDescent="0.2">
      <c r="A92" s="237">
        <v>45586</v>
      </c>
      <c r="B92" s="232" t="s">
        <v>13</v>
      </c>
      <c r="C92" s="44"/>
      <c r="D92" s="44" t="s">
        <v>7</v>
      </c>
      <c r="E92" s="45"/>
      <c r="F92" s="46">
        <v>7</v>
      </c>
      <c r="G92" s="185" t="s">
        <v>13</v>
      </c>
      <c r="H92" s="47"/>
      <c r="I92" s="47" t="s">
        <v>10</v>
      </c>
      <c r="J92" s="46">
        <v>7</v>
      </c>
      <c r="K92" s="48"/>
      <c r="L92" s="115"/>
      <c r="M92" s="115"/>
      <c r="N92" s="115"/>
      <c r="O92" s="115"/>
    </row>
    <row r="93" spans="1:15" ht="18" customHeight="1" x14ac:dyDescent="0.2">
      <c r="A93" s="238"/>
      <c r="B93" s="233"/>
      <c r="C93" s="49"/>
      <c r="D93" s="44" t="s">
        <v>7</v>
      </c>
      <c r="E93" s="45"/>
      <c r="F93" s="46">
        <v>7</v>
      </c>
      <c r="G93" s="235"/>
      <c r="H93" s="50"/>
      <c r="I93" s="51" t="s">
        <v>10</v>
      </c>
      <c r="J93" s="46">
        <v>7</v>
      </c>
      <c r="K93" s="52"/>
      <c r="L93" s="115"/>
      <c r="M93" s="115"/>
      <c r="N93" s="115"/>
      <c r="O93" s="115"/>
    </row>
    <row r="94" spans="1:15" ht="18" customHeight="1" x14ac:dyDescent="0.2">
      <c r="A94" s="238"/>
      <c r="B94" s="233"/>
      <c r="C94" s="49"/>
      <c r="D94" s="44" t="s">
        <v>7</v>
      </c>
      <c r="E94" s="45"/>
      <c r="F94" s="46">
        <v>7</v>
      </c>
      <c r="G94" s="235"/>
      <c r="H94" s="50"/>
      <c r="I94" s="51" t="s">
        <v>10</v>
      </c>
      <c r="J94" s="46">
        <v>7</v>
      </c>
      <c r="K94" s="52"/>
      <c r="L94" s="115"/>
      <c r="M94" s="115"/>
      <c r="N94" s="115"/>
      <c r="O94" s="115"/>
    </row>
    <row r="95" spans="1:15" ht="18.75" customHeight="1" thickBot="1" x14ac:dyDescent="0.25">
      <c r="A95" s="238"/>
      <c r="B95" s="234"/>
      <c r="C95" s="53"/>
      <c r="D95" s="54" t="s">
        <v>7</v>
      </c>
      <c r="E95" s="55"/>
      <c r="F95" s="56">
        <v>7</v>
      </c>
      <c r="G95" s="236"/>
      <c r="H95" s="57"/>
      <c r="I95" s="58" t="s">
        <v>10</v>
      </c>
      <c r="J95" s="56">
        <v>7</v>
      </c>
      <c r="K95" s="59"/>
      <c r="L95" s="115"/>
      <c r="M95" s="115"/>
      <c r="N95" s="115"/>
      <c r="O95" s="115"/>
    </row>
    <row r="96" spans="1:15" ht="18" customHeight="1" x14ac:dyDescent="0.2">
      <c r="A96" s="237">
        <v>45587</v>
      </c>
      <c r="B96" s="202" t="s">
        <v>14</v>
      </c>
      <c r="C96" s="60"/>
      <c r="D96" s="60" t="s">
        <v>7</v>
      </c>
      <c r="E96" s="61"/>
      <c r="F96" s="62">
        <v>7</v>
      </c>
      <c r="G96" s="205" t="s">
        <v>14</v>
      </c>
      <c r="H96" s="44"/>
      <c r="I96" s="44" t="s">
        <v>10</v>
      </c>
      <c r="J96" s="62">
        <v>7</v>
      </c>
      <c r="K96" s="45"/>
      <c r="L96" s="115"/>
      <c r="M96" s="115"/>
      <c r="N96" s="115"/>
      <c r="O96" s="115"/>
    </row>
    <row r="97" spans="1:15" ht="18" customHeight="1" x14ac:dyDescent="0.2">
      <c r="A97" s="238"/>
      <c r="B97" s="203"/>
      <c r="C97" s="63"/>
      <c r="D97" s="64" t="s">
        <v>7</v>
      </c>
      <c r="E97" s="65"/>
      <c r="F97" s="66">
        <v>7</v>
      </c>
      <c r="G97" s="206"/>
      <c r="H97" s="49"/>
      <c r="I97" s="44" t="s">
        <v>10</v>
      </c>
      <c r="J97" s="66">
        <v>7</v>
      </c>
      <c r="K97" s="67"/>
      <c r="L97" s="115"/>
      <c r="M97" s="115"/>
      <c r="N97" s="115"/>
      <c r="O97" s="115"/>
    </row>
    <row r="98" spans="1:15" ht="18" customHeight="1" x14ac:dyDescent="0.2">
      <c r="A98" s="238"/>
      <c r="B98" s="203"/>
      <c r="C98" s="63"/>
      <c r="D98" s="64" t="s">
        <v>7</v>
      </c>
      <c r="E98" s="65"/>
      <c r="F98" s="66">
        <v>7</v>
      </c>
      <c r="G98" s="206"/>
      <c r="H98" s="49"/>
      <c r="I98" s="44" t="s">
        <v>10</v>
      </c>
      <c r="J98" s="66">
        <v>7</v>
      </c>
      <c r="K98" s="67"/>
      <c r="L98" s="115"/>
      <c r="M98" s="115"/>
      <c r="N98" s="115"/>
      <c r="O98" s="115"/>
    </row>
    <row r="99" spans="1:15" ht="18.75" customHeight="1" thickBot="1" x14ac:dyDescent="0.25">
      <c r="A99" s="238"/>
      <c r="B99" s="204"/>
      <c r="C99" s="68"/>
      <c r="D99" s="69" t="s">
        <v>7</v>
      </c>
      <c r="E99" s="70"/>
      <c r="F99" s="71">
        <v>7</v>
      </c>
      <c r="G99" s="207"/>
      <c r="H99" s="53"/>
      <c r="I99" s="54" t="s">
        <v>10</v>
      </c>
      <c r="J99" s="71">
        <v>7</v>
      </c>
      <c r="K99" s="72"/>
      <c r="L99" s="115"/>
      <c r="M99" s="115"/>
      <c r="N99" s="115"/>
      <c r="O99" s="115"/>
    </row>
    <row r="100" spans="1:15" ht="18" customHeight="1" x14ac:dyDescent="0.2">
      <c r="A100" s="237">
        <v>45588</v>
      </c>
      <c r="B100" s="208" t="s">
        <v>15</v>
      </c>
      <c r="C100" s="16"/>
      <c r="D100" s="16" t="s">
        <v>7</v>
      </c>
      <c r="E100" s="73"/>
      <c r="F100" s="74">
        <v>7</v>
      </c>
      <c r="G100" s="211" t="s">
        <v>15</v>
      </c>
      <c r="H100" s="75"/>
      <c r="I100" s="75" t="s">
        <v>10</v>
      </c>
      <c r="J100" s="74">
        <v>7</v>
      </c>
      <c r="K100" s="76"/>
      <c r="L100" s="115"/>
      <c r="M100" s="115"/>
      <c r="N100" s="115"/>
      <c r="O100" s="115"/>
    </row>
    <row r="101" spans="1:15" ht="18" customHeight="1" x14ac:dyDescent="0.2">
      <c r="A101" s="238"/>
      <c r="B101" s="209"/>
      <c r="C101" s="15"/>
      <c r="D101" s="16" t="s">
        <v>7</v>
      </c>
      <c r="E101" s="73"/>
      <c r="F101" s="74">
        <v>7</v>
      </c>
      <c r="G101" s="212"/>
      <c r="H101" s="77"/>
      <c r="I101" s="78" t="s">
        <v>10</v>
      </c>
      <c r="J101" s="74">
        <v>7</v>
      </c>
      <c r="K101" s="79"/>
      <c r="L101" s="115"/>
      <c r="M101" s="115"/>
      <c r="N101" s="115"/>
      <c r="O101" s="115"/>
    </row>
    <row r="102" spans="1:15" ht="18" customHeight="1" x14ac:dyDescent="0.2">
      <c r="A102" s="238"/>
      <c r="B102" s="209"/>
      <c r="C102" s="15"/>
      <c r="D102" s="16" t="s">
        <v>7</v>
      </c>
      <c r="E102" s="73"/>
      <c r="F102" s="74">
        <v>7</v>
      </c>
      <c r="G102" s="212"/>
      <c r="H102" s="77"/>
      <c r="I102" s="78" t="s">
        <v>10</v>
      </c>
      <c r="J102" s="74">
        <v>7</v>
      </c>
      <c r="K102" s="79"/>
      <c r="L102" s="115"/>
      <c r="M102" s="115"/>
      <c r="N102" s="115"/>
      <c r="O102" s="115"/>
    </row>
    <row r="103" spans="1:15" ht="18.75" customHeight="1" thickBot="1" x14ac:dyDescent="0.25">
      <c r="A103" s="238"/>
      <c r="B103" s="210"/>
      <c r="C103" s="80"/>
      <c r="D103" s="81" t="s">
        <v>7</v>
      </c>
      <c r="E103" s="82"/>
      <c r="F103" s="83">
        <v>7</v>
      </c>
      <c r="G103" s="213"/>
      <c r="H103" s="84"/>
      <c r="I103" s="85" t="s">
        <v>10</v>
      </c>
      <c r="J103" s="83">
        <v>7</v>
      </c>
      <c r="K103" s="86"/>
      <c r="L103" s="115"/>
      <c r="M103" s="115"/>
      <c r="N103" s="115"/>
      <c r="O103" s="115"/>
    </row>
    <row r="104" spans="1:15" ht="18" customHeight="1" x14ac:dyDescent="0.2">
      <c r="A104" s="237">
        <v>45589</v>
      </c>
      <c r="B104" s="214" t="s">
        <v>16</v>
      </c>
      <c r="C104" s="87"/>
      <c r="D104" s="87" t="s">
        <v>7</v>
      </c>
      <c r="E104" s="88"/>
      <c r="F104" s="89">
        <v>7</v>
      </c>
      <c r="G104" s="217" t="s">
        <v>16</v>
      </c>
      <c r="H104" s="90"/>
      <c r="I104" s="90" t="s">
        <v>10</v>
      </c>
      <c r="J104" s="89">
        <v>0</v>
      </c>
      <c r="K104" s="91"/>
      <c r="L104" s="115"/>
      <c r="M104" s="115"/>
      <c r="N104" s="115"/>
      <c r="O104" s="115"/>
    </row>
    <row r="105" spans="1:15" ht="18" customHeight="1" x14ac:dyDescent="0.2">
      <c r="A105" s="238"/>
      <c r="B105" s="215"/>
      <c r="C105" s="92"/>
      <c r="D105" s="93" t="s">
        <v>7</v>
      </c>
      <c r="E105" s="94"/>
      <c r="F105" s="95">
        <v>7</v>
      </c>
      <c r="G105" s="218"/>
      <c r="H105" s="96"/>
      <c r="I105" s="97" t="s">
        <v>10</v>
      </c>
      <c r="J105" s="95">
        <v>7</v>
      </c>
      <c r="K105" s="98"/>
      <c r="L105" s="115"/>
      <c r="M105" s="115"/>
      <c r="N105" s="115"/>
      <c r="O105" s="115"/>
    </row>
    <row r="106" spans="1:15" ht="18" customHeight="1" x14ac:dyDescent="0.2">
      <c r="A106" s="238"/>
      <c r="B106" s="215"/>
      <c r="C106" s="92"/>
      <c r="D106" s="93" t="s">
        <v>7</v>
      </c>
      <c r="E106" s="94"/>
      <c r="F106" s="95">
        <v>7</v>
      </c>
      <c r="G106" s="218"/>
      <c r="H106" s="96"/>
      <c r="I106" s="97" t="s">
        <v>10</v>
      </c>
      <c r="J106" s="95">
        <v>7</v>
      </c>
      <c r="K106" s="98"/>
      <c r="L106" s="115"/>
      <c r="M106" s="115"/>
      <c r="N106" s="115"/>
      <c r="O106" s="115"/>
    </row>
    <row r="107" spans="1:15" ht="18.75" customHeight="1" thickBot="1" x14ac:dyDescent="0.25">
      <c r="A107" s="238"/>
      <c r="B107" s="216"/>
      <c r="C107" s="99"/>
      <c r="D107" s="100" t="s">
        <v>7</v>
      </c>
      <c r="E107" s="101"/>
      <c r="F107" s="102">
        <v>7</v>
      </c>
      <c r="G107" s="219"/>
      <c r="H107" s="103"/>
      <c r="I107" s="104" t="s">
        <v>10</v>
      </c>
      <c r="J107" s="102">
        <v>7</v>
      </c>
      <c r="K107" s="105"/>
      <c r="L107" s="115"/>
      <c r="M107" s="115"/>
      <c r="N107" s="115"/>
      <c r="O107" s="115"/>
    </row>
    <row r="108" spans="1:15" ht="23.25" x14ac:dyDescent="0.35">
      <c r="A108" s="118"/>
      <c r="B108" s="106"/>
      <c r="C108" s="107"/>
      <c r="D108" s="194" t="s">
        <v>20</v>
      </c>
      <c r="E108" s="195"/>
      <c r="F108" s="108">
        <f>SUM(F84:F107)</f>
        <v>168</v>
      </c>
      <c r="G108" s="107"/>
      <c r="H108" s="185" t="s">
        <v>20</v>
      </c>
      <c r="I108" s="186"/>
      <c r="J108" s="108">
        <f>SUM(J84:J107)</f>
        <v>161</v>
      </c>
      <c r="K108" s="109"/>
      <c r="L108" s="115"/>
      <c r="M108" s="115"/>
      <c r="N108" s="115"/>
      <c r="O108" s="115"/>
    </row>
    <row r="109" spans="1:15" ht="24" thickBot="1" x14ac:dyDescent="0.4">
      <c r="A109" s="119"/>
      <c r="B109" s="110"/>
      <c r="C109" s="111"/>
      <c r="D109" s="187" t="s">
        <v>21</v>
      </c>
      <c r="E109" s="188"/>
      <c r="F109" s="112">
        <f>F108/240*1</f>
        <v>0.7</v>
      </c>
      <c r="G109" s="111"/>
      <c r="H109" s="189" t="s">
        <v>22</v>
      </c>
      <c r="I109" s="190"/>
      <c r="J109" s="113">
        <f>J108/240*1</f>
        <v>0.67083333333333328</v>
      </c>
      <c r="K109" s="114"/>
      <c r="L109" s="115"/>
      <c r="M109" s="115"/>
      <c r="N109" s="115"/>
      <c r="O109" s="115"/>
    </row>
    <row r="110" spans="1:15" ht="24" thickBot="1" x14ac:dyDescent="0.4">
      <c r="A110" s="120">
        <v>5</v>
      </c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</row>
    <row r="111" spans="1:15" ht="21" thickBot="1" x14ac:dyDescent="0.35">
      <c r="A111" s="244" t="s">
        <v>25</v>
      </c>
      <c r="B111" s="191" t="s">
        <v>0</v>
      </c>
      <c r="C111" s="192"/>
      <c r="D111" s="192"/>
      <c r="E111" s="192"/>
      <c r="F111" s="192"/>
      <c r="G111" s="192"/>
      <c r="H111" s="192"/>
      <c r="I111" s="192"/>
      <c r="J111" s="192"/>
      <c r="K111" s="193"/>
      <c r="L111" s="115"/>
      <c r="M111" s="115"/>
      <c r="N111" s="115"/>
      <c r="O111" s="115"/>
    </row>
    <row r="112" spans="1:15" ht="21" thickBot="1" x14ac:dyDescent="0.35">
      <c r="A112" s="245"/>
      <c r="B112" s="196" t="s">
        <v>17</v>
      </c>
      <c r="C112" s="197"/>
      <c r="D112" s="197"/>
      <c r="E112" s="197"/>
      <c r="F112" s="198"/>
      <c r="G112" s="199" t="s">
        <v>1</v>
      </c>
      <c r="H112" s="200"/>
      <c r="I112" s="200"/>
      <c r="J112" s="200"/>
      <c r="K112" s="201"/>
      <c r="L112" s="115"/>
      <c r="M112" s="115"/>
      <c r="N112" s="115"/>
      <c r="O112" s="115"/>
    </row>
    <row r="113" spans="1:15" ht="41.25" thickBot="1" x14ac:dyDescent="0.25">
      <c r="A113" s="246"/>
      <c r="B113" s="2" t="s">
        <v>2</v>
      </c>
      <c r="C113" s="3" t="s">
        <v>6</v>
      </c>
      <c r="D113" s="3" t="s">
        <v>7</v>
      </c>
      <c r="E113" s="3" t="s">
        <v>8</v>
      </c>
      <c r="F113" s="4" t="s">
        <v>19</v>
      </c>
      <c r="G113" s="5" t="s">
        <v>2</v>
      </c>
      <c r="H113" s="6" t="s">
        <v>3</v>
      </c>
      <c r="I113" s="6" t="s">
        <v>4</v>
      </c>
      <c r="J113" s="7" t="s">
        <v>18</v>
      </c>
      <c r="K113" s="8" t="s">
        <v>5</v>
      </c>
      <c r="L113" s="115"/>
      <c r="M113" s="115"/>
      <c r="N113" s="115"/>
      <c r="O113" s="115"/>
    </row>
    <row r="114" spans="1:15" ht="18" x14ac:dyDescent="0.2">
      <c r="A114" s="237">
        <v>45591</v>
      </c>
      <c r="B114" s="220" t="s">
        <v>9</v>
      </c>
      <c r="C114" s="9"/>
      <c r="D114" s="9" t="s">
        <v>7</v>
      </c>
      <c r="E114" s="10"/>
      <c r="F114" s="11">
        <v>7</v>
      </c>
      <c r="G114" s="223" t="s">
        <v>9</v>
      </c>
      <c r="H114" s="12"/>
      <c r="I114" s="12" t="s">
        <v>10</v>
      </c>
      <c r="J114" s="11">
        <v>7</v>
      </c>
      <c r="K114" s="13"/>
      <c r="L114" s="115"/>
      <c r="M114" s="115"/>
      <c r="N114" s="115"/>
      <c r="O114" s="115"/>
    </row>
    <row r="115" spans="1:15" ht="18" x14ac:dyDescent="0.2">
      <c r="A115" s="238"/>
      <c r="B115" s="221"/>
      <c r="C115" s="14"/>
      <c r="D115" s="9" t="s">
        <v>7</v>
      </c>
      <c r="E115" s="10"/>
      <c r="F115" s="11">
        <v>7</v>
      </c>
      <c r="G115" s="224"/>
      <c r="H115" s="15"/>
      <c r="I115" s="16" t="s">
        <v>10</v>
      </c>
      <c r="J115" s="11">
        <v>7</v>
      </c>
      <c r="K115" s="17"/>
      <c r="L115" s="115"/>
      <c r="M115" s="115"/>
      <c r="N115" s="115"/>
      <c r="O115" s="115"/>
    </row>
    <row r="116" spans="1:15" ht="18" x14ac:dyDescent="0.2">
      <c r="A116" s="238"/>
      <c r="B116" s="221"/>
      <c r="C116" s="14"/>
      <c r="D116" s="9" t="s">
        <v>7</v>
      </c>
      <c r="E116" s="10"/>
      <c r="F116" s="11">
        <v>7</v>
      </c>
      <c r="G116" s="224"/>
      <c r="H116" s="15"/>
      <c r="I116" s="16" t="s">
        <v>10</v>
      </c>
      <c r="J116" s="11">
        <v>7</v>
      </c>
      <c r="K116" s="17"/>
      <c r="L116" s="115"/>
      <c r="M116" s="115"/>
      <c r="N116" s="115"/>
      <c r="O116" s="115"/>
    </row>
    <row r="117" spans="1:15" ht="18.75" thickBot="1" x14ac:dyDescent="0.25">
      <c r="A117" s="238"/>
      <c r="B117" s="222"/>
      <c r="C117" s="18"/>
      <c r="D117" s="19" t="s">
        <v>7</v>
      </c>
      <c r="E117" s="20"/>
      <c r="F117" s="21">
        <v>7</v>
      </c>
      <c r="G117" s="225"/>
      <c r="H117" s="22"/>
      <c r="I117" s="23" t="s">
        <v>10</v>
      </c>
      <c r="J117" s="21">
        <v>7</v>
      </c>
      <c r="K117" s="24"/>
      <c r="L117" s="115"/>
      <c r="M117" s="115"/>
      <c r="N117" s="115"/>
      <c r="O117" s="115"/>
    </row>
    <row r="118" spans="1:15" ht="18" customHeight="1" x14ac:dyDescent="0.2">
      <c r="A118" s="237">
        <v>45592</v>
      </c>
      <c r="B118" s="226" t="s">
        <v>12</v>
      </c>
      <c r="C118" s="25"/>
      <c r="D118" s="25" t="s">
        <v>7</v>
      </c>
      <c r="E118" s="26"/>
      <c r="F118" s="27">
        <v>7</v>
      </c>
      <c r="G118" s="229" t="s">
        <v>12</v>
      </c>
      <c r="H118" s="28"/>
      <c r="I118" s="28" t="s">
        <v>10</v>
      </c>
      <c r="J118" s="27">
        <v>7</v>
      </c>
      <c r="K118" s="29"/>
      <c r="L118" s="115"/>
      <c r="M118" s="115"/>
      <c r="N118" s="115"/>
      <c r="O118" s="115"/>
    </row>
    <row r="119" spans="1:15" ht="18" customHeight="1" x14ac:dyDescent="0.2">
      <c r="A119" s="238"/>
      <c r="B119" s="227"/>
      <c r="C119" s="30"/>
      <c r="D119" s="31" t="s">
        <v>7</v>
      </c>
      <c r="E119" s="32"/>
      <c r="F119" s="33">
        <v>7</v>
      </c>
      <c r="G119" s="230"/>
      <c r="H119" s="34"/>
      <c r="I119" s="35" t="s">
        <v>10</v>
      </c>
      <c r="J119" s="33">
        <v>7</v>
      </c>
      <c r="K119" s="36"/>
      <c r="L119" s="115"/>
      <c r="M119" s="115"/>
      <c r="N119" s="115"/>
      <c r="O119" s="115"/>
    </row>
    <row r="120" spans="1:15" ht="18" customHeight="1" x14ac:dyDescent="0.2">
      <c r="A120" s="238"/>
      <c r="B120" s="227"/>
      <c r="C120" s="30"/>
      <c r="D120" s="31" t="s">
        <v>7</v>
      </c>
      <c r="E120" s="32"/>
      <c r="F120" s="33">
        <v>7</v>
      </c>
      <c r="G120" s="230"/>
      <c r="H120" s="34"/>
      <c r="I120" s="35" t="s">
        <v>10</v>
      </c>
      <c r="J120" s="33">
        <v>7</v>
      </c>
      <c r="K120" s="36"/>
      <c r="L120" s="115"/>
      <c r="M120" s="115"/>
      <c r="N120" s="115"/>
      <c r="O120" s="115"/>
    </row>
    <row r="121" spans="1:15" ht="18.75" customHeight="1" thickBot="1" x14ac:dyDescent="0.25">
      <c r="A121" s="238"/>
      <c r="B121" s="228"/>
      <c r="C121" s="37"/>
      <c r="D121" s="38" t="s">
        <v>7</v>
      </c>
      <c r="E121" s="39"/>
      <c r="F121" s="40">
        <v>7</v>
      </c>
      <c r="G121" s="231"/>
      <c r="H121" s="41"/>
      <c r="I121" s="42" t="s">
        <v>10</v>
      </c>
      <c r="J121" s="40">
        <v>7</v>
      </c>
      <c r="K121" s="43"/>
      <c r="L121" s="115"/>
      <c r="M121" s="115"/>
      <c r="N121" s="115"/>
      <c r="O121" s="115"/>
    </row>
    <row r="122" spans="1:15" ht="18" customHeight="1" x14ac:dyDescent="0.2">
      <c r="A122" s="237">
        <v>45593</v>
      </c>
      <c r="B122" s="232" t="s">
        <v>13</v>
      </c>
      <c r="C122" s="44"/>
      <c r="D122" s="44" t="s">
        <v>7</v>
      </c>
      <c r="E122" s="45"/>
      <c r="F122" s="46">
        <v>7</v>
      </c>
      <c r="G122" s="185" t="s">
        <v>13</v>
      </c>
      <c r="H122" s="47"/>
      <c r="I122" s="47" t="s">
        <v>10</v>
      </c>
      <c r="J122" s="46">
        <v>7</v>
      </c>
      <c r="K122" s="48"/>
      <c r="L122" s="115"/>
      <c r="M122" s="115"/>
      <c r="N122" s="115"/>
      <c r="O122" s="115"/>
    </row>
    <row r="123" spans="1:15" ht="18" customHeight="1" x14ac:dyDescent="0.2">
      <c r="A123" s="238"/>
      <c r="B123" s="233"/>
      <c r="C123" s="49"/>
      <c r="D123" s="44" t="s">
        <v>7</v>
      </c>
      <c r="E123" s="45"/>
      <c r="F123" s="46">
        <v>7</v>
      </c>
      <c r="G123" s="235"/>
      <c r="H123" s="50"/>
      <c r="I123" s="51" t="s">
        <v>10</v>
      </c>
      <c r="J123" s="46">
        <v>7</v>
      </c>
      <c r="K123" s="52"/>
      <c r="L123" s="115"/>
      <c r="M123" s="115"/>
      <c r="N123" s="115"/>
      <c r="O123" s="115"/>
    </row>
    <row r="124" spans="1:15" ht="18" customHeight="1" x14ac:dyDescent="0.2">
      <c r="A124" s="238"/>
      <c r="B124" s="233"/>
      <c r="C124" s="49"/>
      <c r="D124" s="44" t="s">
        <v>7</v>
      </c>
      <c r="E124" s="45"/>
      <c r="F124" s="46">
        <v>7</v>
      </c>
      <c r="G124" s="235"/>
      <c r="H124" s="50"/>
      <c r="I124" s="51" t="s">
        <v>10</v>
      </c>
      <c r="J124" s="46">
        <v>7</v>
      </c>
      <c r="K124" s="52"/>
      <c r="L124" s="115"/>
      <c r="M124" s="115"/>
      <c r="N124" s="115"/>
      <c r="O124" s="115"/>
    </row>
    <row r="125" spans="1:15" ht="18.75" customHeight="1" thickBot="1" x14ac:dyDescent="0.25">
      <c r="A125" s="238"/>
      <c r="B125" s="234"/>
      <c r="C125" s="53"/>
      <c r="D125" s="54" t="s">
        <v>7</v>
      </c>
      <c r="E125" s="55"/>
      <c r="F125" s="56">
        <v>7</v>
      </c>
      <c r="G125" s="236"/>
      <c r="H125" s="57"/>
      <c r="I125" s="58" t="s">
        <v>10</v>
      </c>
      <c r="J125" s="56">
        <v>7</v>
      </c>
      <c r="K125" s="59"/>
      <c r="L125" s="115"/>
      <c r="M125" s="115"/>
      <c r="N125" s="115"/>
      <c r="O125" s="115"/>
    </row>
    <row r="126" spans="1:15" ht="18" customHeight="1" x14ac:dyDescent="0.2">
      <c r="A126" s="237">
        <v>45594</v>
      </c>
      <c r="B126" s="202" t="s">
        <v>14</v>
      </c>
      <c r="C126" s="60"/>
      <c r="D126" s="60" t="s">
        <v>7</v>
      </c>
      <c r="E126" s="61"/>
      <c r="F126" s="62">
        <v>7</v>
      </c>
      <c r="G126" s="205" t="s">
        <v>14</v>
      </c>
      <c r="H126" s="44"/>
      <c r="I126" s="44" t="s">
        <v>10</v>
      </c>
      <c r="J126" s="62">
        <v>7</v>
      </c>
      <c r="K126" s="45"/>
      <c r="L126" s="115"/>
      <c r="M126" s="115"/>
      <c r="N126" s="115"/>
      <c r="O126" s="115"/>
    </row>
    <row r="127" spans="1:15" ht="18" customHeight="1" x14ac:dyDescent="0.2">
      <c r="A127" s="238"/>
      <c r="B127" s="203"/>
      <c r="C127" s="63"/>
      <c r="D127" s="64" t="s">
        <v>7</v>
      </c>
      <c r="E127" s="65"/>
      <c r="F127" s="66">
        <v>7</v>
      </c>
      <c r="G127" s="206"/>
      <c r="H127" s="49"/>
      <c r="I127" s="44" t="s">
        <v>10</v>
      </c>
      <c r="J127" s="66">
        <v>7</v>
      </c>
      <c r="K127" s="67"/>
      <c r="L127" s="115"/>
      <c r="M127" s="115"/>
      <c r="N127" s="115"/>
      <c r="O127" s="115"/>
    </row>
    <row r="128" spans="1:15" ht="18" customHeight="1" x14ac:dyDescent="0.2">
      <c r="A128" s="238"/>
      <c r="B128" s="203"/>
      <c r="C128" s="63"/>
      <c r="D128" s="64" t="s">
        <v>7</v>
      </c>
      <c r="E128" s="65"/>
      <c r="F128" s="66">
        <v>7</v>
      </c>
      <c r="G128" s="206"/>
      <c r="H128" s="49"/>
      <c r="I128" s="44" t="s">
        <v>10</v>
      </c>
      <c r="J128" s="66">
        <v>7</v>
      </c>
      <c r="K128" s="67"/>
      <c r="L128" s="115"/>
      <c r="M128" s="115"/>
      <c r="N128" s="115"/>
      <c r="O128" s="115"/>
    </row>
    <row r="129" spans="1:15" ht="18.75" customHeight="1" thickBot="1" x14ac:dyDescent="0.25">
      <c r="A129" s="238"/>
      <c r="B129" s="204"/>
      <c r="C129" s="68"/>
      <c r="D129" s="69" t="s">
        <v>7</v>
      </c>
      <c r="E129" s="70"/>
      <c r="F129" s="71">
        <v>7</v>
      </c>
      <c r="G129" s="207"/>
      <c r="H129" s="53"/>
      <c r="I129" s="54" t="s">
        <v>10</v>
      </c>
      <c r="J129" s="71">
        <v>7</v>
      </c>
      <c r="K129" s="72"/>
      <c r="L129" s="115"/>
      <c r="M129" s="115"/>
      <c r="N129" s="115"/>
      <c r="O129" s="115"/>
    </row>
    <row r="130" spans="1:15" ht="18" customHeight="1" x14ac:dyDescent="0.2">
      <c r="A130" s="237">
        <v>45595</v>
      </c>
      <c r="B130" s="208" t="s">
        <v>15</v>
      </c>
      <c r="C130" s="16"/>
      <c r="D130" s="16" t="s">
        <v>7</v>
      </c>
      <c r="E130" s="73"/>
      <c r="F130" s="74">
        <v>7</v>
      </c>
      <c r="G130" s="211" t="s">
        <v>15</v>
      </c>
      <c r="H130" s="75"/>
      <c r="I130" s="75" t="s">
        <v>10</v>
      </c>
      <c r="J130" s="74">
        <v>7</v>
      </c>
      <c r="K130" s="76"/>
      <c r="L130" s="115"/>
      <c r="M130" s="115"/>
      <c r="N130" s="115"/>
      <c r="O130" s="115"/>
    </row>
    <row r="131" spans="1:15" ht="18" customHeight="1" x14ac:dyDescent="0.2">
      <c r="A131" s="238"/>
      <c r="B131" s="209"/>
      <c r="C131" s="15"/>
      <c r="D131" s="16" t="s">
        <v>7</v>
      </c>
      <c r="E131" s="73"/>
      <c r="F131" s="74">
        <v>7</v>
      </c>
      <c r="G131" s="212"/>
      <c r="H131" s="77"/>
      <c r="I131" s="78" t="s">
        <v>10</v>
      </c>
      <c r="J131" s="74">
        <v>7</v>
      </c>
      <c r="K131" s="79"/>
      <c r="L131" s="115"/>
      <c r="M131" s="115"/>
      <c r="N131" s="115"/>
      <c r="O131" s="115"/>
    </row>
    <row r="132" spans="1:15" ht="18" customHeight="1" x14ac:dyDescent="0.2">
      <c r="A132" s="238"/>
      <c r="B132" s="209"/>
      <c r="C132" s="15"/>
      <c r="D132" s="16" t="s">
        <v>7</v>
      </c>
      <c r="E132" s="73"/>
      <c r="F132" s="74">
        <v>7</v>
      </c>
      <c r="G132" s="212"/>
      <c r="H132" s="77"/>
      <c r="I132" s="78" t="s">
        <v>10</v>
      </c>
      <c r="J132" s="74">
        <v>7</v>
      </c>
      <c r="K132" s="79"/>
      <c r="L132" s="115"/>
      <c r="M132" s="115"/>
      <c r="N132" s="115"/>
      <c r="O132" s="115"/>
    </row>
    <row r="133" spans="1:15" ht="18.75" customHeight="1" thickBot="1" x14ac:dyDescent="0.25">
      <c r="A133" s="238"/>
      <c r="B133" s="210"/>
      <c r="C133" s="80"/>
      <c r="D133" s="81" t="s">
        <v>7</v>
      </c>
      <c r="E133" s="82"/>
      <c r="F133" s="83">
        <v>7</v>
      </c>
      <c r="G133" s="213"/>
      <c r="H133" s="84"/>
      <c r="I133" s="85" t="s">
        <v>10</v>
      </c>
      <c r="J133" s="83">
        <v>7</v>
      </c>
      <c r="K133" s="86"/>
      <c r="L133" s="115"/>
      <c r="M133" s="115"/>
      <c r="N133" s="115"/>
      <c r="O133" s="115"/>
    </row>
    <row r="134" spans="1:15" ht="18" customHeight="1" x14ac:dyDescent="0.2">
      <c r="A134" s="237">
        <v>45596</v>
      </c>
      <c r="B134" s="214" t="s">
        <v>16</v>
      </c>
      <c r="C134" s="87"/>
      <c r="D134" s="87" t="s">
        <v>7</v>
      </c>
      <c r="E134" s="88"/>
      <c r="F134" s="89">
        <v>7</v>
      </c>
      <c r="G134" s="217" t="s">
        <v>16</v>
      </c>
      <c r="H134" s="90"/>
      <c r="I134" s="90" t="s">
        <v>10</v>
      </c>
      <c r="J134" s="89">
        <v>0</v>
      </c>
      <c r="K134" s="91"/>
      <c r="L134" s="115"/>
      <c r="M134" s="115"/>
      <c r="N134" s="115"/>
      <c r="O134" s="115"/>
    </row>
    <row r="135" spans="1:15" ht="18" customHeight="1" x14ac:dyDescent="0.2">
      <c r="A135" s="238"/>
      <c r="B135" s="215"/>
      <c r="C135" s="92"/>
      <c r="D135" s="93" t="s">
        <v>7</v>
      </c>
      <c r="E135" s="94"/>
      <c r="F135" s="95">
        <v>7</v>
      </c>
      <c r="G135" s="218"/>
      <c r="H135" s="96"/>
      <c r="I135" s="97" t="s">
        <v>10</v>
      </c>
      <c r="J135" s="95">
        <v>7</v>
      </c>
      <c r="K135" s="98"/>
      <c r="L135" s="115"/>
      <c r="M135" s="115"/>
      <c r="N135" s="115"/>
      <c r="O135" s="115"/>
    </row>
    <row r="136" spans="1:15" ht="18" customHeight="1" x14ac:dyDescent="0.2">
      <c r="A136" s="238"/>
      <c r="B136" s="215"/>
      <c r="C136" s="92"/>
      <c r="D136" s="93" t="s">
        <v>7</v>
      </c>
      <c r="E136" s="94"/>
      <c r="F136" s="95">
        <v>7</v>
      </c>
      <c r="G136" s="218"/>
      <c r="H136" s="96"/>
      <c r="I136" s="97" t="s">
        <v>10</v>
      </c>
      <c r="J136" s="95">
        <v>7</v>
      </c>
      <c r="K136" s="98"/>
      <c r="L136" s="115"/>
      <c r="M136" s="115"/>
      <c r="N136" s="115"/>
      <c r="O136" s="115"/>
    </row>
    <row r="137" spans="1:15" ht="18.75" customHeight="1" thickBot="1" x14ac:dyDescent="0.25">
      <c r="A137" s="238"/>
      <c r="B137" s="216"/>
      <c r="C137" s="99"/>
      <c r="D137" s="100" t="s">
        <v>7</v>
      </c>
      <c r="E137" s="101"/>
      <c r="F137" s="102">
        <v>7</v>
      </c>
      <c r="G137" s="219"/>
      <c r="H137" s="103"/>
      <c r="I137" s="104" t="s">
        <v>10</v>
      </c>
      <c r="J137" s="102">
        <v>7</v>
      </c>
      <c r="K137" s="105"/>
      <c r="L137" s="115"/>
      <c r="M137" s="115"/>
      <c r="N137" s="115"/>
      <c r="O137" s="115"/>
    </row>
    <row r="138" spans="1:15" ht="23.25" x14ac:dyDescent="0.35">
      <c r="A138" s="118"/>
      <c r="B138" s="106"/>
      <c r="C138" s="107"/>
      <c r="D138" s="194" t="s">
        <v>20</v>
      </c>
      <c r="E138" s="195"/>
      <c r="F138" s="108">
        <f>SUM(F114:F137)</f>
        <v>168</v>
      </c>
      <c r="G138" s="107"/>
      <c r="H138" s="185" t="s">
        <v>20</v>
      </c>
      <c r="I138" s="186"/>
      <c r="J138" s="108">
        <f>SUM(J114:J137)</f>
        <v>161</v>
      </c>
      <c r="K138" s="109"/>
      <c r="L138" s="115"/>
      <c r="M138" s="115"/>
      <c r="N138" s="115"/>
      <c r="O138" s="115"/>
    </row>
    <row r="139" spans="1:15" ht="24" thickBot="1" x14ac:dyDescent="0.4">
      <c r="A139" s="119"/>
      <c r="B139" s="110"/>
      <c r="C139" s="111"/>
      <c r="D139" s="187" t="s">
        <v>21</v>
      </c>
      <c r="E139" s="188"/>
      <c r="F139" s="112">
        <f>F138/240*1</f>
        <v>0.7</v>
      </c>
      <c r="G139" s="111"/>
      <c r="H139" s="189" t="s">
        <v>22</v>
      </c>
      <c r="I139" s="190"/>
      <c r="J139" s="113">
        <f>J138/240*1</f>
        <v>0.67083333333333328</v>
      </c>
      <c r="K139" s="114"/>
      <c r="L139" s="115"/>
      <c r="M139" s="115"/>
      <c r="N139" s="115"/>
      <c r="O139" s="115"/>
    </row>
    <row r="140" spans="1:15" ht="24" thickBot="1" x14ac:dyDescent="0.4">
      <c r="A140" s="120">
        <v>6</v>
      </c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</row>
    <row r="141" spans="1:15" ht="21" thickBot="1" x14ac:dyDescent="0.35">
      <c r="A141" s="244" t="s">
        <v>25</v>
      </c>
      <c r="B141" s="191" t="s">
        <v>0</v>
      </c>
      <c r="C141" s="192"/>
      <c r="D141" s="192"/>
      <c r="E141" s="192"/>
      <c r="F141" s="192"/>
      <c r="G141" s="192"/>
      <c r="H141" s="192"/>
      <c r="I141" s="192"/>
      <c r="J141" s="192"/>
      <c r="K141" s="193"/>
      <c r="L141" s="115"/>
      <c r="M141" s="115"/>
      <c r="N141" s="115"/>
      <c r="O141" s="115"/>
    </row>
    <row r="142" spans="1:15" ht="21" thickBot="1" x14ac:dyDescent="0.35">
      <c r="A142" s="245"/>
      <c r="B142" s="196" t="s">
        <v>17</v>
      </c>
      <c r="C142" s="197"/>
      <c r="D142" s="197"/>
      <c r="E142" s="197"/>
      <c r="F142" s="198"/>
      <c r="G142" s="199" t="s">
        <v>1</v>
      </c>
      <c r="H142" s="200"/>
      <c r="I142" s="200"/>
      <c r="J142" s="200"/>
      <c r="K142" s="201"/>
      <c r="L142" s="115"/>
      <c r="M142" s="115"/>
      <c r="N142" s="115"/>
      <c r="O142" s="115"/>
    </row>
    <row r="143" spans="1:15" ht="41.25" thickBot="1" x14ac:dyDescent="0.25">
      <c r="A143" s="246"/>
      <c r="B143" s="2" t="s">
        <v>2</v>
      </c>
      <c r="C143" s="3" t="s">
        <v>6</v>
      </c>
      <c r="D143" s="3" t="s">
        <v>7</v>
      </c>
      <c r="E143" s="3" t="s">
        <v>8</v>
      </c>
      <c r="F143" s="4" t="s">
        <v>19</v>
      </c>
      <c r="G143" s="5" t="s">
        <v>2</v>
      </c>
      <c r="H143" s="6" t="s">
        <v>3</v>
      </c>
      <c r="I143" s="6" t="s">
        <v>4</v>
      </c>
      <c r="J143" s="7" t="s">
        <v>18</v>
      </c>
      <c r="K143" s="8" t="s">
        <v>5</v>
      </c>
      <c r="L143" s="115"/>
      <c r="M143" s="115"/>
      <c r="N143" s="115"/>
      <c r="O143" s="115"/>
    </row>
    <row r="144" spans="1:15" ht="18" x14ac:dyDescent="0.2">
      <c r="A144" s="237">
        <v>45598</v>
      </c>
      <c r="B144" s="220" t="s">
        <v>9</v>
      </c>
      <c r="C144" s="9"/>
      <c r="D144" s="9" t="s">
        <v>7</v>
      </c>
      <c r="E144" s="10"/>
      <c r="F144" s="11">
        <v>7</v>
      </c>
      <c r="G144" s="223" t="s">
        <v>9</v>
      </c>
      <c r="H144" s="12"/>
      <c r="I144" s="12" t="s">
        <v>10</v>
      </c>
      <c r="J144" s="11">
        <v>7</v>
      </c>
      <c r="K144" s="13"/>
      <c r="L144" s="115"/>
      <c r="M144" s="115"/>
      <c r="N144" s="115"/>
      <c r="O144" s="115"/>
    </row>
    <row r="145" spans="1:15" ht="18" x14ac:dyDescent="0.2">
      <c r="A145" s="238"/>
      <c r="B145" s="221"/>
      <c r="C145" s="14"/>
      <c r="D145" s="9" t="s">
        <v>7</v>
      </c>
      <c r="E145" s="10"/>
      <c r="F145" s="11">
        <v>7</v>
      </c>
      <c r="G145" s="224"/>
      <c r="H145" s="15"/>
      <c r="I145" s="16" t="s">
        <v>10</v>
      </c>
      <c r="J145" s="11">
        <v>7</v>
      </c>
      <c r="K145" s="17"/>
      <c r="L145" s="115"/>
      <c r="M145" s="115"/>
      <c r="N145" s="115"/>
      <c r="O145" s="115"/>
    </row>
    <row r="146" spans="1:15" ht="18" x14ac:dyDescent="0.2">
      <c r="A146" s="238"/>
      <c r="B146" s="221"/>
      <c r="C146" s="14"/>
      <c r="D146" s="9" t="s">
        <v>7</v>
      </c>
      <c r="E146" s="10"/>
      <c r="F146" s="11">
        <v>7</v>
      </c>
      <c r="G146" s="224"/>
      <c r="H146" s="15"/>
      <c r="I146" s="16" t="s">
        <v>10</v>
      </c>
      <c r="J146" s="11">
        <v>7</v>
      </c>
      <c r="K146" s="17"/>
      <c r="L146" s="115"/>
      <c r="M146" s="115"/>
      <c r="N146" s="115"/>
      <c r="O146" s="115"/>
    </row>
    <row r="147" spans="1:15" ht="18.75" thickBot="1" x14ac:dyDescent="0.25">
      <c r="A147" s="238"/>
      <c r="B147" s="222"/>
      <c r="C147" s="18"/>
      <c r="D147" s="19" t="s">
        <v>7</v>
      </c>
      <c r="E147" s="20"/>
      <c r="F147" s="21">
        <v>7</v>
      </c>
      <c r="G147" s="225"/>
      <c r="H147" s="22"/>
      <c r="I147" s="23" t="s">
        <v>10</v>
      </c>
      <c r="J147" s="21">
        <v>7</v>
      </c>
      <c r="K147" s="24"/>
      <c r="L147" s="115"/>
      <c r="M147" s="115"/>
      <c r="N147" s="115"/>
      <c r="O147" s="115"/>
    </row>
    <row r="148" spans="1:15" ht="18" customHeight="1" x14ac:dyDescent="0.2">
      <c r="A148" s="237">
        <v>45599</v>
      </c>
      <c r="B148" s="226" t="s">
        <v>12</v>
      </c>
      <c r="C148" s="25"/>
      <c r="D148" s="25" t="s">
        <v>7</v>
      </c>
      <c r="E148" s="26"/>
      <c r="F148" s="27">
        <v>7</v>
      </c>
      <c r="G148" s="229" t="s">
        <v>12</v>
      </c>
      <c r="H148" s="28"/>
      <c r="I148" s="28" t="s">
        <v>10</v>
      </c>
      <c r="J148" s="27">
        <v>7</v>
      </c>
      <c r="K148" s="29"/>
      <c r="L148" s="115"/>
      <c r="M148" s="115"/>
      <c r="N148" s="115"/>
      <c r="O148" s="115"/>
    </row>
    <row r="149" spans="1:15" ht="18" customHeight="1" x14ac:dyDescent="0.2">
      <c r="A149" s="238"/>
      <c r="B149" s="227"/>
      <c r="C149" s="30"/>
      <c r="D149" s="31" t="s">
        <v>7</v>
      </c>
      <c r="E149" s="32"/>
      <c r="F149" s="33">
        <v>7</v>
      </c>
      <c r="G149" s="230"/>
      <c r="H149" s="34"/>
      <c r="I149" s="35" t="s">
        <v>10</v>
      </c>
      <c r="J149" s="33">
        <v>7</v>
      </c>
      <c r="K149" s="36"/>
      <c r="L149" s="115"/>
      <c r="M149" s="115"/>
      <c r="N149" s="115"/>
      <c r="O149" s="115"/>
    </row>
    <row r="150" spans="1:15" ht="18" customHeight="1" x14ac:dyDescent="0.2">
      <c r="A150" s="238"/>
      <c r="B150" s="227"/>
      <c r="C150" s="30"/>
      <c r="D150" s="31" t="s">
        <v>7</v>
      </c>
      <c r="E150" s="32"/>
      <c r="F150" s="33">
        <v>7</v>
      </c>
      <c r="G150" s="230"/>
      <c r="H150" s="34"/>
      <c r="I150" s="35" t="s">
        <v>10</v>
      </c>
      <c r="J150" s="33">
        <v>7</v>
      </c>
      <c r="K150" s="36"/>
      <c r="L150" s="115"/>
      <c r="M150" s="115"/>
      <c r="N150" s="115"/>
      <c r="O150" s="115"/>
    </row>
    <row r="151" spans="1:15" ht="18.75" customHeight="1" thickBot="1" x14ac:dyDescent="0.25">
      <c r="A151" s="238"/>
      <c r="B151" s="228"/>
      <c r="C151" s="37"/>
      <c r="D151" s="38" t="s">
        <v>7</v>
      </c>
      <c r="E151" s="39"/>
      <c r="F151" s="40">
        <v>7</v>
      </c>
      <c r="G151" s="231"/>
      <c r="H151" s="41"/>
      <c r="I151" s="42" t="s">
        <v>10</v>
      </c>
      <c r="J151" s="40">
        <v>7</v>
      </c>
      <c r="K151" s="43"/>
      <c r="L151" s="115"/>
      <c r="M151" s="115"/>
      <c r="N151" s="115"/>
      <c r="O151" s="115"/>
    </row>
    <row r="152" spans="1:15" ht="18" customHeight="1" x14ac:dyDescent="0.2">
      <c r="A152" s="237">
        <v>45600</v>
      </c>
      <c r="B152" s="232" t="s">
        <v>13</v>
      </c>
      <c r="C152" s="44"/>
      <c r="D152" s="44" t="s">
        <v>7</v>
      </c>
      <c r="E152" s="45"/>
      <c r="F152" s="46">
        <v>7</v>
      </c>
      <c r="G152" s="185" t="s">
        <v>13</v>
      </c>
      <c r="H152" s="47"/>
      <c r="I152" s="47" t="s">
        <v>10</v>
      </c>
      <c r="J152" s="46">
        <v>7</v>
      </c>
      <c r="K152" s="48"/>
      <c r="L152" s="115"/>
      <c r="M152" s="115"/>
      <c r="N152" s="115"/>
      <c r="O152" s="115"/>
    </row>
    <row r="153" spans="1:15" ht="18" customHeight="1" x14ac:dyDescent="0.2">
      <c r="A153" s="238"/>
      <c r="B153" s="233"/>
      <c r="C153" s="49"/>
      <c r="D153" s="44" t="s">
        <v>7</v>
      </c>
      <c r="E153" s="45"/>
      <c r="F153" s="46">
        <v>7</v>
      </c>
      <c r="G153" s="235"/>
      <c r="H153" s="50"/>
      <c r="I153" s="51" t="s">
        <v>10</v>
      </c>
      <c r="J153" s="46">
        <v>7</v>
      </c>
      <c r="K153" s="52"/>
      <c r="L153" s="115"/>
      <c r="M153" s="115"/>
      <c r="N153" s="115"/>
      <c r="O153" s="115"/>
    </row>
    <row r="154" spans="1:15" ht="18" customHeight="1" x14ac:dyDescent="0.2">
      <c r="A154" s="238"/>
      <c r="B154" s="233"/>
      <c r="C154" s="49"/>
      <c r="D154" s="44" t="s">
        <v>7</v>
      </c>
      <c r="E154" s="45"/>
      <c r="F154" s="46">
        <v>7</v>
      </c>
      <c r="G154" s="235"/>
      <c r="H154" s="50"/>
      <c r="I154" s="51" t="s">
        <v>10</v>
      </c>
      <c r="J154" s="46">
        <v>7</v>
      </c>
      <c r="K154" s="52"/>
      <c r="L154" s="115"/>
      <c r="M154" s="115"/>
      <c r="N154" s="115"/>
      <c r="O154" s="115"/>
    </row>
    <row r="155" spans="1:15" ht="18.75" customHeight="1" thickBot="1" x14ac:dyDescent="0.25">
      <c r="A155" s="238"/>
      <c r="B155" s="234"/>
      <c r="C155" s="53"/>
      <c r="D155" s="54" t="s">
        <v>7</v>
      </c>
      <c r="E155" s="55"/>
      <c r="F155" s="56">
        <v>7</v>
      </c>
      <c r="G155" s="236"/>
      <c r="H155" s="57"/>
      <c r="I155" s="58" t="s">
        <v>10</v>
      </c>
      <c r="J155" s="56">
        <v>7</v>
      </c>
      <c r="K155" s="59"/>
      <c r="L155" s="115"/>
      <c r="M155" s="115"/>
      <c r="N155" s="115"/>
      <c r="O155" s="115"/>
    </row>
    <row r="156" spans="1:15" ht="18" customHeight="1" x14ac:dyDescent="0.2">
      <c r="A156" s="237">
        <v>45601</v>
      </c>
      <c r="B156" s="202" t="s">
        <v>14</v>
      </c>
      <c r="C156" s="60"/>
      <c r="D156" s="60" t="s">
        <v>7</v>
      </c>
      <c r="E156" s="61"/>
      <c r="F156" s="62">
        <v>7</v>
      </c>
      <c r="G156" s="205" t="s">
        <v>14</v>
      </c>
      <c r="H156" s="44"/>
      <c r="I156" s="44" t="s">
        <v>10</v>
      </c>
      <c r="J156" s="62">
        <v>7</v>
      </c>
      <c r="K156" s="45"/>
      <c r="L156" s="115"/>
      <c r="M156" s="115"/>
      <c r="N156" s="115"/>
      <c r="O156" s="115"/>
    </row>
    <row r="157" spans="1:15" ht="18" customHeight="1" x14ac:dyDescent="0.2">
      <c r="A157" s="238"/>
      <c r="B157" s="203"/>
      <c r="C157" s="63"/>
      <c r="D157" s="64" t="s">
        <v>7</v>
      </c>
      <c r="E157" s="65"/>
      <c r="F157" s="66">
        <v>7</v>
      </c>
      <c r="G157" s="206"/>
      <c r="H157" s="49"/>
      <c r="I157" s="44" t="s">
        <v>10</v>
      </c>
      <c r="J157" s="66">
        <v>7</v>
      </c>
      <c r="K157" s="67"/>
      <c r="L157" s="115"/>
      <c r="M157" s="115"/>
      <c r="N157" s="115"/>
      <c r="O157" s="115"/>
    </row>
    <row r="158" spans="1:15" ht="18" customHeight="1" x14ac:dyDescent="0.2">
      <c r="A158" s="238"/>
      <c r="B158" s="203"/>
      <c r="C158" s="63"/>
      <c r="D158" s="64" t="s">
        <v>7</v>
      </c>
      <c r="E158" s="65"/>
      <c r="F158" s="66">
        <v>7</v>
      </c>
      <c r="G158" s="206"/>
      <c r="H158" s="49"/>
      <c r="I158" s="44" t="s">
        <v>10</v>
      </c>
      <c r="J158" s="66">
        <v>7</v>
      </c>
      <c r="K158" s="67"/>
      <c r="L158" s="115"/>
      <c r="M158" s="115"/>
      <c r="N158" s="115"/>
      <c r="O158" s="115"/>
    </row>
    <row r="159" spans="1:15" ht="18.75" customHeight="1" thickBot="1" x14ac:dyDescent="0.25">
      <c r="A159" s="238"/>
      <c r="B159" s="204"/>
      <c r="C159" s="68"/>
      <c r="D159" s="69" t="s">
        <v>7</v>
      </c>
      <c r="E159" s="70"/>
      <c r="F159" s="71">
        <v>7</v>
      </c>
      <c r="G159" s="207"/>
      <c r="H159" s="53"/>
      <c r="I159" s="54" t="s">
        <v>10</v>
      </c>
      <c r="J159" s="71">
        <v>7</v>
      </c>
      <c r="K159" s="72"/>
      <c r="L159" s="115"/>
      <c r="M159" s="115"/>
      <c r="N159" s="115"/>
      <c r="O159" s="115"/>
    </row>
    <row r="160" spans="1:15" ht="18" customHeight="1" x14ac:dyDescent="0.2">
      <c r="A160" s="237">
        <v>45602</v>
      </c>
      <c r="B160" s="208" t="s">
        <v>15</v>
      </c>
      <c r="C160" s="16"/>
      <c r="D160" s="16" t="s">
        <v>7</v>
      </c>
      <c r="E160" s="73"/>
      <c r="F160" s="74">
        <v>7</v>
      </c>
      <c r="G160" s="211" t="s">
        <v>15</v>
      </c>
      <c r="H160" s="75"/>
      <c r="I160" s="75" t="s">
        <v>10</v>
      </c>
      <c r="J160" s="74">
        <v>7</v>
      </c>
      <c r="K160" s="76"/>
      <c r="L160" s="115"/>
      <c r="M160" s="115"/>
      <c r="N160" s="115"/>
      <c r="O160" s="115"/>
    </row>
    <row r="161" spans="1:15" ht="18" customHeight="1" x14ac:dyDescent="0.2">
      <c r="A161" s="238"/>
      <c r="B161" s="209"/>
      <c r="C161" s="15"/>
      <c r="D161" s="16" t="s">
        <v>7</v>
      </c>
      <c r="E161" s="73"/>
      <c r="F161" s="74">
        <v>7</v>
      </c>
      <c r="G161" s="212"/>
      <c r="H161" s="77"/>
      <c r="I161" s="78" t="s">
        <v>10</v>
      </c>
      <c r="J161" s="74">
        <v>7</v>
      </c>
      <c r="K161" s="79"/>
      <c r="L161" s="115"/>
      <c r="M161" s="115"/>
      <c r="N161" s="115"/>
      <c r="O161" s="115"/>
    </row>
    <row r="162" spans="1:15" ht="18" customHeight="1" x14ac:dyDescent="0.2">
      <c r="A162" s="238"/>
      <c r="B162" s="209"/>
      <c r="C162" s="15"/>
      <c r="D162" s="16" t="s">
        <v>7</v>
      </c>
      <c r="E162" s="73"/>
      <c r="F162" s="74">
        <v>7</v>
      </c>
      <c r="G162" s="212"/>
      <c r="H162" s="77"/>
      <c r="I162" s="78" t="s">
        <v>10</v>
      </c>
      <c r="J162" s="74">
        <v>7</v>
      </c>
      <c r="K162" s="79"/>
      <c r="L162" s="115"/>
      <c r="M162" s="115"/>
      <c r="N162" s="115"/>
      <c r="O162" s="115"/>
    </row>
    <row r="163" spans="1:15" ht="18.75" customHeight="1" thickBot="1" x14ac:dyDescent="0.25">
      <c r="A163" s="238"/>
      <c r="B163" s="210"/>
      <c r="C163" s="80"/>
      <c r="D163" s="81" t="s">
        <v>7</v>
      </c>
      <c r="E163" s="82"/>
      <c r="F163" s="83">
        <v>7</v>
      </c>
      <c r="G163" s="213"/>
      <c r="H163" s="84"/>
      <c r="I163" s="85" t="s">
        <v>10</v>
      </c>
      <c r="J163" s="83">
        <v>7</v>
      </c>
      <c r="K163" s="86"/>
      <c r="L163" s="115"/>
      <c r="M163" s="115"/>
      <c r="N163" s="115"/>
      <c r="O163" s="115"/>
    </row>
    <row r="164" spans="1:15" ht="18" customHeight="1" x14ac:dyDescent="0.2">
      <c r="A164" s="237">
        <v>45603</v>
      </c>
      <c r="B164" s="214" t="s">
        <v>16</v>
      </c>
      <c r="C164" s="87"/>
      <c r="D164" s="87" t="s">
        <v>7</v>
      </c>
      <c r="E164" s="88"/>
      <c r="F164" s="89">
        <v>7</v>
      </c>
      <c r="G164" s="217" t="s">
        <v>16</v>
      </c>
      <c r="H164" s="90"/>
      <c r="I164" s="90" t="s">
        <v>10</v>
      </c>
      <c r="J164" s="89">
        <v>0</v>
      </c>
      <c r="K164" s="91"/>
      <c r="L164" s="115"/>
      <c r="M164" s="115"/>
      <c r="N164" s="115"/>
      <c r="O164" s="115"/>
    </row>
    <row r="165" spans="1:15" ht="18" customHeight="1" x14ac:dyDescent="0.2">
      <c r="A165" s="238"/>
      <c r="B165" s="215"/>
      <c r="C165" s="92"/>
      <c r="D165" s="93" t="s">
        <v>7</v>
      </c>
      <c r="E165" s="94"/>
      <c r="F165" s="95">
        <v>7</v>
      </c>
      <c r="G165" s="218"/>
      <c r="H165" s="96"/>
      <c r="I165" s="97" t="s">
        <v>10</v>
      </c>
      <c r="J165" s="95">
        <v>7</v>
      </c>
      <c r="K165" s="98"/>
      <c r="L165" s="115"/>
      <c r="M165" s="115"/>
      <c r="N165" s="115"/>
      <c r="O165" s="115"/>
    </row>
    <row r="166" spans="1:15" ht="18" customHeight="1" x14ac:dyDescent="0.2">
      <c r="A166" s="238"/>
      <c r="B166" s="215"/>
      <c r="C166" s="92"/>
      <c r="D166" s="93" t="s">
        <v>7</v>
      </c>
      <c r="E166" s="94"/>
      <c r="F166" s="95">
        <v>7</v>
      </c>
      <c r="G166" s="218"/>
      <c r="H166" s="96"/>
      <c r="I166" s="97" t="s">
        <v>10</v>
      </c>
      <c r="J166" s="95">
        <v>7</v>
      </c>
      <c r="K166" s="98"/>
      <c r="L166" s="115"/>
      <c r="M166" s="115"/>
      <c r="N166" s="115"/>
      <c r="O166" s="115"/>
    </row>
    <row r="167" spans="1:15" ht="18.75" customHeight="1" thickBot="1" x14ac:dyDescent="0.25">
      <c r="A167" s="238"/>
      <c r="B167" s="216"/>
      <c r="C167" s="99"/>
      <c r="D167" s="100" t="s">
        <v>7</v>
      </c>
      <c r="E167" s="101"/>
      <c r="F167" s="102">
        <v>7</v>
      </c>
      <c r="G167" s="219"/>
      <c r="H167" s="103"/>
      <c r="I167" s="104" t="s">
        <v>10</v>
      </c>
      <c r="J167" s="102">
        <v>7</v>
      </c>
      <c r="K167" s="105"/>
      <c r="L167" s="115"/>
      <c r="M167" s="115"/>
      <c r="N167" s="115"/>
      <c r="O167" s="115"/>
    </row>
    <row r="168" spans="1:15" ht="23.25" x14ac:dyDescent="0.35">
      <c r="A168" s="118"/>
      <c r="B168" s="106"/>
      <c r="C168" s="107"/>
      <c r="D168" s="194" t="s">
        <v>20</v>
      </c>
      <c r="E168" s="195"/>
      <c r="F168" s="108">
        <f>SUM(F144:F167)</f>
        <v>168</v>
      </c>
      <c r="G168" s="107"/>
      <c r="H168" s="185" t="s">
        <v>20</v>
      </c>
      <c r="I168" s="186"/>
      <c r="J168" s="108">
        <f>SUM(J144:J167)</f>
        <v>161</v>
      </c>
      <c r="K168" s="109"/>
      <c r="L168" s="115"/>
      <c r="M168" s="115"/>
      <c r="N168" s="115"/>
      <c r="O168" s="115"/>
    </row>
    <row r="169" spans="1:15" ht="24" thickBot="1" x14ac:dyDescent="0.4">
      <c r="A169" s="119"/>
      <c r="B169" s="110"/>
      <c r="C169" s="111"/>
      <c r="D169" s="187" t="s">
        <v>21</v>
      </c>
      <c r="E169" s="188"/>
      <c r="F169" s="112">
        <f>F168/240*1</f>
        <v>0.7</v>
      </c>
      <c r="G169" s="111"/>
      <c r="H169" s="189" t="s">
        <v>22</v>
      </c>
      <c r="I169" s="190"/>
      <c r="J169" s="113">
        <f>J168/240*1</f>
        <v>0.67083333333333328</v>
      </c>
      <c r="K169" s="114"/>
      <c r="L169" s="115"/>
      <c r="M169" s="115"/>
      <c r="N169" s="115"/>
      <c r="O169" s="115"/>
    </row>
    <row r="170" spans="1:15" ht="24" thickBot="1" x14ac:dyDescent="0.4">
      <c r="A170" s="120">
        <v>7</v>
      </c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</row>
    <row r="171" spans="1:15" ht="21" thickBot="1" x14ac:dyDescent="0.35">
      <c r="A171" s="244" t="s">
        <v>25</v>
      </c>
      <c r="B171" s="191" t="s">
        <v>0</v>
      </c>
      <c r="C171" s="192"/>
      <c r="D171" s="192"/>
      <c r="E171" s="192"/>
      <c r="F171" s="192"/>
      <c r="G171" s="192"/>
      <c r="H171" s="192"/>
      <c r="I171" s="192"/>
      <c r="J171" s="192"/>
      <c r="K171" s="193"/>
      <c r="L171" s="115"/>
      <c r="M171" s="115"/>
      <c r="N171" s="115"/>
      <c r="O171" s="115"/>
    </row>
    <row r="172" spans="1:15" ht="21" thickBot="1" x14ac:dyDescent="0.35">
      <c r="A172" s="245"/>
      <c r="B172" s="196" t="s">
        <v>17</v>
      </c>
      <c r="C172" s="197"/>
      <c r="D172" s="197"/>
      <c r="E172" s="197"/>
      <c r="F172" s="198"/>
      <c r="G172" s="199" t="s">
        <v>1</v>
      </c>
      <c r="H172" s="200"/>
      <c r="I172" s="200"/>
      <c r="J172" s="200"/>
      <c r="K172" s="201"/>
      <c r="L172" s="115"/>
      <c r="M172" s="115"/>
      <c r="N172" s="115"/>
      <c r="O172" s="115"/>
    </row>
    <row r="173" spans="1:15" ht="41.25" thickBot="1" x14ac:dyDescent="0.25">
      <c r="A173" s="246"/>
      <c r="B173" s="2" t="s">
        <v>2</v>
      </c>
      <c r="C173" s="3" t="s">
        <v>6</v>
      </c>
      <c r="D173" s="3" t="s">
        <v>7</v>
      </c>
      <c r="E173" s="3" t="s">
        <v>8</v>
      </c>
      <c r="F173" s="4" t="s">
        <v>19</v>
      </c>
      <c r="G173" s="5" t="s">
        <v>2</v>
      </c>
      <c r="H173" s="6" t="s">
        <v>3</v>
      </c>
      <c r="I173" s="6" t="s">
        <v>4</v>
      </c>
      <c r="J173" s="7" t="s">
        <v>18</v>
      </c>
      <c r="K173" s="8" t="s">
        <v>5</v>
      </c>
      <c r="L173" s="115"/>
      <c r="M173" s="115"/>
      <c r="N173" s="115"/>
      <c r="O173" s="115"/>
    </row>
    <row r="174" spans="1:15" ht="18" x14ac:dyDescent="0.2">
      <c r="A174" s="237">
        <v>45605</v>
      </c>
      <c r="B174" s="220" t="s">
        <v>9</v>
      </c>
      <c r="C174" s="9"/>
      <c r="D174" s="9" t="s">
        <v>7</v>
      </c>
      <c r="E174" s="10"/>
      <c r="F174" s="11">
        <v>7</v>
      </c>
      <c r="G174" s="223" t="s">
        <v>9</v>
      </c>
      <c r="H174" s="12"/>
      <c r="I174" s="12" t="s">
        <v>10</v>
      </c>
      <c r="J174" s="11">
        <v>7</v>
      </c>
      <c r="K174" s="13"/>
      <c r="L174" s="115"/>
      <c r="M174" s="115"/>
      <c r="N174" s="115"/>
      <c r="O174" s="115"/>
    </row>
    <row r="175" spans="1:15" ht="18" x14ac:dyDescent="0.2">
      <c r="A175" s="238"/>
      <c r="B175" s="221"/>
      <c r="C175" s="14"/>
      <c r="D175" s="9" t="s">
        <v>7</v>
      </c>
      <c r="E175" s="10"/>
      <c r="F175" s="11">
        <v>7</v>
      </c>
      <c r="G175" s="224"/>
      <c r="H175" s="15"/>
      <c r="I175" s="16" t="s">
        <v>10</v>
      </c>
      <c r="J175" s="11">
        <v>7</v>
      </c>
      <c r="K175" s="17"/>
      <c r="L175" s="115"/>
      <c r="M175" s="115"/>
      <c r="N175" s="115"/>
      <c r="O175" s="115"/>
    </row>
    <row r="176" spans="1:15" ht="18" x14ac:dyDescent="0.2">
      <c r="A176" s="238"/>
      <c r="B176" s="221"/>
      <c r="C176" s="14"/>
      <c r="D176" s="9" t="s">
        <v>7</v>
      </c>
      <c r="E176" s="10"/>
      <c r="F176" s="11">
        <v>7</v>
      </c>
      <c r="G176" s="224"/>
      <c r="H176" s="15"/>
      <c r="I176" s="16" t="s">
        <v>10</v>
      </c>
      <c r="J176" s="11">
        <v>7</v>
      </c>
      <c r="K176" s="17"/>
      <c r="L176" s="115"/>
      <c r="M176" s="115"/>
      <c r="N176" s="115"/>
      <c r="O176" s="115"/>
    </row>
    <row r="177" spans="1:15" ht="18.75" thickBot="1" x14ac:dyDescent="0.25">
      <c r="A177" s="238"/>
      <c r="B177" s="222"/>
      <c r="C177" s="18"/>
      <c r="D177" s="19" t="s">
        <v>7</v>
      </c>
      <c r="E177" s="20"/>
      <c r="F177" s="21">
        <v>7</v>
      </c>
      <c r="G177" s="225"/>
      <c r="H177" s="22"/>
      <c r="I177" s="23" t="s">
        <v>10</v>
      </c>
      <c r="J177" s="21">
        <v>7</v>
      </c>
      <c r="K177" s="24"/>
      <c r="L177" s="115"/>
      <c r="M177" s="115"/>
      <c r="N177" s="115"/>
      <c r="O177" s="115"/>
    </row>
    <row r="178" spans="1:15" ht="18" customHeight="1" x14ac:dyDescent="0.2">
      <c r="A178" s="237">
        <v>45606</v>
      </c>
      <c r="B178" s="226" t="s">
        <v>12</v>
      </c>
      <c r="C178" s="25"/>
      <c r="D178" s="25" t="s">
        <v>7</v>
      </c>
      <c r="E178" s="26"/>
      <c r="F178" s="27">
        <v>7</v>
      </c>
      <c r="G178" s="229" t="s">
        <v>12</v>
      </c>
      <c r="H178" s="28"/>
      <c r="I178" s="28" t="s">
        <v>10</v>
      </c>
      <c r="J178" s="27">
        <v>7</v>
      </c>
      <c r="K178" s="29"/>
      <c r="L178" s="115"/>
      <c r="M178" s="115"/>
      <c r="N178" s="115"/>
      <c r="O178" s="115"/>
    </row>
    <row r="179" spans="1:15" ht="18" customHeight="1" x14ac:dyDescent="0.2">
      <c r="A179" s="238"/>
      <c r="B179" s="227"/>
      <c r="C179" s="30"/>
      <c r="D179" s="31" t="s">
        <v>7</v>
      </c>
      <c r="E179" s="32"/>
      <c r="F179" s="33">
        <v>7</v>
      </c>
      <c r="G179" s="230"/>
      <c r="H179" s="34"/>
      <c r="I179" s="35" t="s">
        <v>10</v>
      </c>
      <c r="J179" s="33">
        <v>7</v>
      </c>
      <c r="K179" s="36"/>
      <c r="L179" s="115"/>
      <c r="M179" s="115"/>
      <c r="N179" s="115"/>
      <c r="O179" s="115"/>
    </row>
    <row r="180" spans="1:15" ht="18" customHeight="1" x14ac:dyDescent="0.2">
      <c r="A180" s="238"/>
      <c r="B180" s="227"/>
      <c r="C180" s="30"/>
      <c r="D180" s="31" t="s">
        <v>7</v>
      </c>
      <c r="E180" s="32"/>
      <c r="F180" s="33">
        <v>7</v>
      </c>
      <c r="G180" s="230"/>
      <c r="H180" s="34"/>
      <c r="I180" s="35" t="s">
        <v>10</v>
      </c>
      <c r="J180" s="33">
        <v>7</v>
      </c>
      <c r="K180" s="36"/>
      <c r="L180" s="115"/>
      <c r="M180" s="115"/>
      <c r="N180" s="115"/>
      <c r="O180" s="115"/>
    </row>
    <row r="181" spans="1:15" ht="18.75" customHeight="1" thickBot="1" x14ac:dyDescent="0.25">
      <c r="A181" s="238"/>
      <c r="B181" s="228"/>
      <c r="C181" s="37"/>
      <c r="D181" s="38" t="s">
        <v>7</v>
      </c>
      <c r="E181" s="39"/>
      <c r="F181" s="40">
        <v>7</v>
      </c>
      <c r="G181" s="231"/>
      <c r="H181" s="41"/>
      <c r="I181" s="42" t="s">
        <v>10</v>
      </c>
      <c r="J181" s="40">
        <v>7</v>
      </c>
      <c r="K181" s="43"/>
      <c r="L181" s="115"/>
      <c r="M181" s="115"/>
      <c r="N181" s="115"/>
      <c r="O181" s="115"/>
    </row>
    <row r="182" spans="1:15" ht="18" customHeight="1" x14ac:dyDescent="0.2">
      <c r="A182" s="237">
        <v>45607</v>
      </c>
      <c r="B182" s="232" t="s">
        <v>13</v>
      </c>
      <c r="C182" s="44"/>
      <c r="D182" s="44" t="s">
        <v>7</v>
      </c>
      <c r="E182" s="45"/>
      <c r="F182" s="46">
        <v>7</v>
      </c>
      <c r="G182" s="185" t="s">
        <v>13</v>
      </c>
      <c r="H182" s="47"/>
      <c r="I182" s="47" t="s">
        <v>10</v>
      </c>
      <c r="J182" s="46">
        <v>7</v>
      </c>
      <c r="K182" s="48"/>
      <c r="L182" s="115"/>
      <c r="M182" s="115"/>
      <c r="N182" s="115"/>
      <c r="O182" s="115"/>
    </row>
    <row r="183" spans="1:15" ht="18" customHeight="1" x14ac:dyDescent="0.2">
      <c r="A183" s="238"/>
      <c r="B183" s="233"/>
      <c r="C183" s="49"/>
      <c r="D183" s="44" t="s">
        <v>7</v>
      </c>
      <c r="E183" s="45"/>
      <c r="F183" s="46">
        <v>7</v>
      </c>
      <c r="G183" s="235"/>
      <c r="H183" s="50"/>
      <c r="I183" s="51" t="s">
        <v>10</v>
      </c>
      <c r="J183" s="46">
        <v>7</v>
      </c>
      <c r="K183" s="52"/>
      <c r="L183" s="115"/>
      <c r="M183" s="115"/>
      <c r="N183" s="115"/>
      <c r="O183" s="115"/>
    </row>
    <row r="184" spans="1:15" ht="18" customHeight="1" x14ac:dyDescent="0.2">
      <c r="A184" s="238"/>
      <c r="B184" s="233"/>
      <c r="C184" s="49"/>
      <c r="D184" s="44" t="s">
        <v>7</v>
      </c>
      <c r="E184" s="45"/>
      <c r="F184" s="46">
        <v>7</v>
      </c>
      <c r="G184" s="235"/>
      <c r="H184" s="50"/>
      <c r="I184" s="51" t="s">
        <v>10</v>
      </c>
      <c r="J184" s="46">
        <v>7</v>
      </c>
      <c r="K184" s="52"/>
      <c r="L184" s="115"/>
      <c r="M184" s="115"/>
      <c r="N184" s="115"/>
      <c r="O184" s="115"/>
    </row>
    <row r="185" spans="1:15" ht="18.75" customHeight="1" thickBot="1" x14ac:dyDescent="0.25">
      <c r="A185" s="238"/>
      <c r="B185" s="234"/>
      <c r="C185" s="53"/>
      <c r="D185" s="54" t="s">
        <v>7</v>
      </c>
      <c r="E185" s="55"/>
      <c r="F185" s="56">
        <v>7</v>
      </c>
      <c r="G185" s="236"/>
      <c r="H185" s="57"/>
      <c r="I185" s="58" t="s">
        <v>10</v>
      </c>
      <c r="J185" s="56">
        <v>7</v>
      </c>
      <c r="K185" s="59"/>
      <c r="L185" s="115"/>
      <c r="M185" s="115"/>
      <c r="N185" s="115"/>
      <c r="O185" s="115"/>
    </row>
    <row r="186" spans="1:15" ht="18" customHeight="1" x14ac:dyDescent="0.2">
      <c r="A186" s="237">
        <v>45608</v>
      </c>
      <c r="B186" s="202" t="s">
        <v>14</v>
      </c>
      <c r="C186" s="60"/>
      <c r="D186" s="60" t="s">
        <v>7</v>
      </c>
      <c r="E186" s="61"/>
      <c r="F186" s="62">
        <v>7</v>
      </c>
      <c r="G186" s="205" t="s">
        <v>14</v>
      </c>
      <c r="H186" s="44"/>
      <c r="I186" s="44" t="s">
        <v>10</v>
      </c>
      <c r="J186" s="62">
        <v>7</v>
      </c>
      <c r="K186" s="45"/>
      <c r="L186" s="115"/>
      <c r="M186" s="115"/>
      <c r="N186" s="115"/>
      <c r="O186" s="115"/>
    </row>
    <row r="187" spans="1:15" ht="18" customHeight="1" x14ac:dyDescent="0.2">
      <c r="A187" s="238"/>
      <c r="B187" s="203"/>
      <c r="C187" s="63"/>
      <c r="D187" s="64" t="s">
        <v>7</v>
      </c>
      <c r="E187" s="65"/>
      <c r="F187" s="66">
        <v>7</v>
      </c>
      <c r="G187" s="206"/>
      <c r="H187" s="49"/>
      <c r="I187" s="44" t="s">
        <v>10</v>
      </c>
      <c r="J187" s="66">
        <v>7</v>
      </c>
      <c r="K187" s="67"/>
      <c r="L187" s="115"/>
      <c r="M187" s="115"/>
      <c r="N187" s="115"/>
      <c r="O187" s="115"/>
    </row>
    <row r="188" spans="1:15" ht="18" customHeight="1" x14ac:dyDescent="0.2">
      <c r="A188" s="238"/>
      <c r="B188" s="203"/>
      <c r="C188" s="63"/>
      <c r="D188" s="64" t="s">
        <v>7</v>
      </c>
      <c r="E188" s="65"/>
      <c r="F188" s="66">
        <v>7</v>
      </c>
      <c r="G188" s="206"/>
      <c r="H188" s="49"/>
      <c r="I188" s="44" t="s">
        <v>10</v>
      </c>
      <c r="J188" s="66">
        <v>7</v>
      </c>
      <c r="K188" s="67"/>
      <c r="L188" s="115"/>
      <c r="M188" s="115"/>
      <c r="N188" s="115"/>
      <c r="O188" s="115"/>
    </row>
    <row r="189" spans="1:15" ht="18.75" customHeight="1" thickBot="1" x14ac:dyDescent="0.25">
      <c r="A189" s="238"/>
      <c r="B189" s="204"/>
      <c r="C189" s="68"/>
      <c r="D189" s="69" t="s">
        <v>7</v>
      </c>
      <c r="E189" s="70"/>
      <c r="F189" s="71">
        <v>7</v>
      </c>
      <c r="G189" s="207"/>
      <c r="H189" s="53"/>
      <c r="I189" s="54" t="s">
        <v>10</v>
      </c>
      <c r="J189" s="71">
        <v>7</v>
      </c>
      <c r="K189" s="72"/>
      <c r="L189" s="115"/>
      <c r="M189" s="115"/>
      <c r="N189" s="115"/>
      <c r="O189" s="115"/>
    </row>
    <row r="190" spans="1:15" ht="18" customHeight="1" x14ac:dyDescent="0.2">
      <c r="A190" s="237">
        <v>45609</v>
      </c>
      <c r="B190" s="208" t="s">
        <v>15</v>
      </c>
      <c r="C190" s="16"/>
      <c r="D190" s="16" t="s">
        <v>7</v>
      </c>
      <c r="E190" s="73"/>
      <c r="F190" s="74">
        <v>7</v>
      </c>
      <c r="G190" s="211" t="s">
        <v>15</v>
      </c>
      <c r="H190" s="75"/>
      <c r="I190" s="75" t="s">
        <v>10</v>
      </c>
      <c r="J190" s="74">
        <v>7</v>
      </c>
      <c r="K190" s="76"/>
      <c r="L190" s="115"/>
      <c r="M190" s="115"/>
      <c r="N190" s="115"/>
      <c r="O190" s="115"/>
    </row>
    <row r="191" spans="1:15" ht="18" customHeight="1" x14ac:dyDescent="0.2">
      <c r="A191" s="238"/>
      <c r="B191" s="209"/>
      <c r="C191" s="15"/>
      <c r="D191" s="16" t="s">
        <v>7</v>
      </c>
      <c r="E191" s="73"/>
      <c r="F191" s="74">
        <v>7</v>
      </c>
      <c r="G191" s="212"/>
      <c r="H191" s="77"/>
      <c r="I191" s="78" t="s">
        <v>10</v>
      </c>
      <c r="J191" s="74">
        <v>7</v>
      </c>
      <c r="K191" s="79"/>
      <c r="L191" s="115"/>
      <c r="M191" s="115"/>
      <c r="N191" s="115"/>
      <c r="O191" s="115"/>
    </row>
    <row r="192" spans="1:15" ht="18" customHeight="1" x14ac:dyDescent="0.2">
      <c r="A192" s="238"/>
      <c r="B192" s="209"/>
      <c r="C192" s="15"/>
      <c r="D192" s="16" t="s">
        <v>7</v>
      </c>
      <c r="E192" s="73"/>
      <c r="F192" s="74">
        <v>7</v>
      </c>
      <c r="G192" s="212"/>
      <c r="H192" s="77"/>
      <c r="I192" s="78" t="s">
        <v>10</v>
      </c>
      <c r="J192" s="74">
        <v>7</v>
      </c>
      <c r="K192" s="79"/>
      <c r="L192" s="115"/>
      <c r="M192" s="115"/>
      <c r="N192" s="115"/>
      <c r="O192" s="115"/>
    </row>
    <row r="193" spans="1:15" ht="18.75" customHeight="1" thickBot="1" x14ac:dyDescent="0.25">
      <c r="A193" s="238"/>
      <c r="B193" s="210"/>
      <c r="C193" s="80"/>
      <c r="D193" s="81" t="s">
        <v>7</v>
      </c>
      <c r="E193" s="82"/>
      <c r="F193" s="83">
        <v>7</v>
      </c>
      <c r="G193" s="213"/>
      <c r="H193" s="84"/>
      <c r="I193" s="85" t="s">
        <v>10</v>
      </c>
      <c r="J193" s="83">
        <v>7</v>
      </c>
      <c r="K193" s="86"/>
      <c r="L193" s="115"/>
      <c r="M193" s="115"/>
      <c r="N193" s="115"/>
      <c r="O193" s="115"/>
    </row>
    <row r="194" spans="1:15" ht="18" customHeight="1" x14ac:dyDescent="0.2">
      <c r="A194" s="237">
        <v>45610</v>
      </c>
      <c r="B194" s="214" t="s">
        <v>16</v>
      </c>
      <c r="C194" s="87"/>
      <c r="D194" s="87" t="s">
        <v>7</v>
      </c>
      <c r="E194" s="88"/>
      <c r="F194" s="89">
        <v>7</v>
      </c>
      <c r="G194" s="217" t="s">
        <v>16</v>
      </c>
      <c r="H194" s="90"/>
      <c r="I194" s="90" t="s">
        <v>10</v>
      </c>
      <c r="J194" s="89">
        <v>0</v>
      </c>
      <c r="K194" s="91"/>
      <c r="L194" s="115"/>
      <c r="M194" s="115"/>
      <c r="N194" s="115"/>
      <c r="O194" s="115"/>
    </row>
    <row r="195" spans="1:15" ht="18" customHeight="1" x14ac:dyDescent="0.2">
      <c r="A195" s="238"/>
      <c r="B195" s="215"/>
      <c r="C195" s="92"/>
      <c r="D195" s="93" t="s">
        <v>7</v>
      </c>
      <c r="E195" s="94"/>
      <c r="F195" s="95">
        <v>7</v>
      </c>
      <c r="G195" s="218"/>
      <c r="H195" s="96"/>
      <c r="I195" s="97" t="s">
        <v>10</v>
      </c>
      <c r="J195" s="95">
        <v>7</v>
      </c>
      <c r="K195" s="98"/>
      <c r="L195" s="115"/>
      <c r="M195" s="115"/>
      <c r="N195" s="115"/>
      <c r="O195" s="115"/>
    </row>
    <row r="196" spans="1:15" ht="18" customHeight="1" x14ac:dyDescent="0.2">
      <c r="A196" s="238"/>
      <c r="B196" s="215"/>
      <c r="C196" s="92"/>
      <c r="D196" s="93" t="s">
        <v>7</v>
      </c>
      <c r="E196" s="94"/>
      <c r="F196" s="95">
        <v>7</v>
      </c>
      <c r="G196" s="218"/>
      <c r="H196" s="96"/>
      <c r="I196" s="97" t="s">
        <v>10</v>
      </c>
      <c r="J196" s="95">
        <v>7</v>
      </c>
      <c r="K196" s="98"/>
      <c r="L196" s="115"/>
      <c r="M196" s="115"/>
      <c r="N196" s="115"/>
      <c r="O196" s="115"/>
    </row>
    <row r="197" spans="1:15" ht="18.75" customHeight="1" thickBot="1" x14ac:dyDescent="0.25">
      <c r="A197" s="238"/>
      <c r="B197" s="216"/>
      <c r="C197" s="99"/>
      <c r="D197" s="100" t="s">
        <v>7</v>
      </c>
      <c r="E197" s="101"/>
      <c r="F197" s="102">
        <v>7</v>
      </c>
      <c r="G197" s="219"/>
      <c r="H197" s="103"/>
      <c r="I197" s="104" t="s">
        <v>10</v>
      </c>
      <c r="J197" s="102">
        <v>7</v>
      </c>
      <c r="K197" s="105"/>
      <c r="L197" s="115"/>
      <c r="M197" s="115"/>
      <c r="N197" s="115"/>
      <c r="O197" s="115"/>
    </row>
    <row r="198" spans="1:15" ht="23.25" x14ac:dyDescent="0.35">
      <c r="A198" s="118"/>
      <c r="B198" s="106"/>
      <c r="C198" s="107"/>
      <c r="D198" s="194" t="s">
        <v>20</v>
      </c>
      <c r="E198" s="195"/>
      <c r="F198" s="108">
        <f>SUM(F174:F197)</f>
        <v>168</v>
      </c>
      <c r="G198" s="107"/>
      <c r="H198" s="185" t="s">
        <v>20</v>
      </c>
      <c r="I198" s="186"/>
      <c r="J198" s="108">
        <f>SUM(J174:J197)</f>
        <v>161</v>
      </c>
      <c r="K198" s="109"/>
      <c r="L198" s="115"/>
      <c r="M198" s="115"/>
      <c r="N198" s="115"/>
      <c r="O198" s="115"/>
    </row>
    <row r="199" spans="1:15" ht="24" thickBot="1" x14ac:dyDescent="0.4">
      <c r="A199" s="119"/>
      <c r="B199" s="110"/>
      <c r="C199" s="111"/>
      <c r="D199" s="187" t="s">
        <v>21</v>
      </c>
      <c r="E199" s="188"/>
      <c r="F199" s="112">
        <f>F198/240*1</f>
        <v>0.7</v>
      </c>
      <c r="G199" s="111"/>
      <c r="H199" s="189" t="s">
        <v>22</v>
      </c>
      <c r="I199" s="190"/>
      <c r="J199" s="113">
        <f>J198/240*1</f>
        <v>0.67083333333333328</v>
      </c>
      <c r="K199" s="114"/>
      <c r="L199" s="115"/>
      <c r="M199" s="115"/>
      <c r="N199" s="115"/>
      <c r="O199" s="115"/>
    </row>
    <row r="200" spans="1:15" ht="24" thickBot="1" x14ac:dyDescent="0.4">
      <c r="A200" s="120">
        <v>8</v>
      </c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</row>
    <row r="201" spans="1:15" ht="21" thickBot="1" x14ac:dyDescent="0.35">
      <c r="A201" s="244" t="s">
        <v>25</v>
      </c>
      <c r="B201" s="191" t="s">
        <v>0</v>
      </c>
      <c r="C201" s="192"/>
      <c r="D201" s="192"/>
      <c r="E201" s="192"/>
      <c r="F201" s="192"/>
      <c r="G201" s="192"/>
      <c r="H201" s="192"/>
      <c r="I201" s="192"/>
      <c r="J201" s="192"/>
      <c r="K201" s="193"/>
      <c r="L201" s="115"/>
      <c r="M201" s="115"/>
      <c r="N201" s="115"/>
      <c r="O201" s="115"/>
    </row>
    <row r="202" spans="1:15" ht="21" thickBot="1" x14ac:dyDescent="0.35">
      <c r="A202" s="245"/>
      <c r="B202" s="196" t="s">
        <v>17</v>
      </c>
      <c r="C202" s="197"/>
      <c r="D202" s="197"/>
      <c r="E202" s="197"/>
      <c r="F202" s="198"/>
      <c r="G202" s="199" t="s">
        <v>1</v>
      </c>
      <c r="H202" s="200"/>
      <c r="I202" s="200"/>
      <c r="J202" s="200"/>
      <c r="K202" s="201"/>
      <c r="L202" s="115"/>
      <c r="M202" s="115"/>
      <c r="N202" s="115"/>
      <c r="O202" s="115"/>
    </row>
    <row r="203" spans="1:15" ht="41.25" thickBot="1" x14ac:dyDescent="0.25">
      <c r="A203" s="246"/>
      <c r="B203" s="2" t="s">
        <v>2</v>
      </c>
      <c r="C203" s="3" t="s">
        <v>6</v>
      </c>
      <c r="D203" s="3" t="s">
        <v>7</v>
      </c>
      <c r="E203" s="3" t="s">
        <v>8</v>
      </c>
      <c r="F203" s="4" t="s">
        <v>19</v>
      </c>
      <c r="G203" s="5" t="s">
        <v>2</v>
      </c>
      <c r="H203" s="6" t="s">
        <v>3</v>
      </c>
      <c r="I203" s="6" t="s">
        <v>4</v>
      </c>
      <c r="J203" s="7" t="s">
        <v>18</v>
      </c>
      <c r="K203" s="8" t="s">
        <v>5</v>
      </c>
      <c r="L203" s="115"/>
      <c r="M203" s="115"/>
      <c r="N203" s="115"/>
      <c r="O203" s="115"/>
    </row>
    <row r="204" spans="1:15" ht="18" x14ac:dyDescent="0.2">
      <c r="A204" s="237">
        <v>45612</v>
      </c>
      <c r="B204" s="220" t="s">
        <v>9</v>
      </c>
      <c r="C204" s="9"/>
      <c r="D204" s="9" t="s">
        <v>7</v>
      </c>
      <c r="E204" s="10"/>
      <c r="F204" s="11">
        <v>7</v>
      </c>
      <c r="G204" s="223" t="s">
        <v>9</v>
      </c>
      <c r="H204" s="12"/>
      <c r="I204" s="12" t="s">
        <v>10</v>
      </c>
      <c r="J204" s="11">
        <v>7</v>
      </c>
      <c r="K204" s="13"/>
      <c r="L204" s="115"/>
      <c r="M204" s="115"/>
      <c r="N204" s="115"/>
      <c r="O204" s="115"/>
    </row>
    <row r="205" spans="1:15" ht="18" x14ac:dyDescent="0.2">
      <c r="A205" s="238"/>
      <c r="B205" s="221"/>
      <c r="C205" s="14"/>
      <c r="D205" s="9" t="s">
        <v>7</v>
      </c>
      <c r="E205" s="10"/>
      <c r="F205" s="11">
        <v>7</v>
      </c>
      <c r="G205" s="224"/>
      <c r="H205" s="15"/>
      <c r="I205" s="16" t="s">
        <v>10</v>
      </c>
      <c r="J205" s="11">
        <v>7</v>
      </c>
      <c r="K205" s="17"/>
      <c r="L205" s="115"/>
      <c r="M205" s="115"/>
      <c r="N205" s="115"/>
      <c r="O205" s="115"/>
    </row>
    <row r="206" spans="1:15" ht="18" x14ac:dyDescent="0.2">
      <c r="A206" s="238"/>
      <c r="B206" s="221"/>
      <c r="C206" s="14"/>
      <c r="D206" s="9" t="s">
        <v>7</v>
      </c>
      <c r="E206" s="10"/>
      <c r="F206" s="11">
        <v>7</v>
      </c>
      <c r="G206" s="224"/>
      <c r="H206" s="15"/>
      <c r="I206" s="16" t="s">
        <v>10</v>
      </c>
      <c r="J206" s="11">
        <v>7</v>
      </c>
      <c r="K206" s="17"/>
      <c r="L206" s="115"/>
      <c r="M206" s="115"/>
      <c r="N206" s="115"/>
      <c r="O206" s="115"/>
    </row>
    <row r="207" spans="1:15" ht="18.75" thickBot="1" x14ac:dyDescent="0.25">
      <c r="A207" s="238"/>
      <c r="B207" s="222"/>
      <c r="C207" s="18"/>
      <c r="D207" s="19" t="s">
        <v>7</v>
      </c>
      <c r="E207" s="20"/>
      <c r="F207" s="21">
        <v>7</v>
      </c>
      <c r="G207" s="225"/>
      <c r="H207" s="22"/>
      <c r="I207" s="23" t="s">
        <v>10</v>
      </c>
      <c r="J207" s="21">
        <v>7</v>
      </c>
      <c r="K207" s="24"/>
      <c r="L207" s="115"/>
      <c r="M207" s="115"/>
      <c r="N207" s="115"/>
      <c r="O207" s="115"/>
    </row>
    <row r="208" spans="1:15" ht="18" customHeight="1" x14ac:dyDescent="0.2">
      <c r="A208" s="237">
        <v>45613</v>
      </c>
      <c r="B208" s="226" t="s">
        <v>12</v>
      </c>
      <c r="C208" s="25"/>
      <c r="D208" s="25" t="s">
        <v>7</v>
      </c>
      <c r="E208" s="26"/>
      <c r="F208" s="27">
        <v>7</v>
      </c>
      <c r="G208" s="229" t="s">
        <v>12</v>
      </c>
      <c r="H208" s="28"/>
      <c r="I208" s="28" t="s">
        <v>10</v>
      </c>
      <c r="J208" s="27">
        <v>7</v>
      </c>
      <c r="K208" s="29"/>
      <c r="L208" s="115"/>
      <c r="M208" s="115"/>
      <c r="N208" s="115"/>
      <c r="O208" s="115"/>
    </row>
    <row r="209" spans="1:15" ht="18" customHeight="1" x14ac:dyDescent="0.2">
      <c r="A209" s="238"/>
      <c r="B209" s="227"/>
      <c r="C209" s="30"/>
      <c r="D209" s="31" t="s">
        <v>7</v>
      </c>
      <c r="E209" s="32"/>
      <c r="F209" s="33">
        <v>7</v>
      </c>
      <c r="G209" s="230"/>
      <c r="H209" s="34"/>
      <c r="I209" s="35" t="s">
        <v>10</v>
      </c>
      <c r="J209" s="33">
        <v>7</v>
      </c>
      <c r="K209" s="36"/>
      <c r="L209" s="115"/>
      <c r="M209" s="115"/>
      <c r="N209" s="115"/>
      <c r="O209" s="115"/>
    </row>
    <row r="210" spans="1:15" ht="18" customHeight="1" x14ac:dyDescent="0.2">
      <c r="A210" s="238"/>
      <c r="B210" s="227"/>
      <c r="C210" s="30"/>
      <c r="D210" s="31" t="s">
        <v>7</v>
      </c>
      <c r="E210" s="32"/>
      <c r="F210" s="33">
        <v>7</v>
      </c>
      <c r="G210" s="230"/>
      <c r="H210" s="34"/>
      <c r="I210" s="35" t="s">
        <v>10</v>
      </c>
      <c r="J210" s="33">
        <v>7</v>
      </c>
      <c r="K210" s="36"/>
      <c r="L210" s="115"/>
      <c r="M210" s="115"/>
      <c r="N210" s="115"/>
      <c r="O210" s="115"/>
    </row>
    <row r="211" spans="1:15" ht="18.75" customHeight="1" thickBot="1" x14ac:dyDescent="0.25">
      <c r="A211" s="238"/>
      <c r="B211" s="228"/>
      <c r="C211" s="37"/>
      <c r="D211" s="38" t="s">
        <v>7</v>
      </c>
      <c r="E211" s="39"/>
      <c r="F211" s="40">
        <v>7</v>
      </c>
      <c r="G211" s="231"/>
      <c r="H211" s="41"/>
      <c r="I211" s="42" t="s">
        <v>10</v>
      </c>
      <c r="J211" s="40">
        <v>7</v>
      </c>
      <c r="K211" s="43"/>
      <c r="L211" s="115"/>
      <c r="M211" s="115"/>
      <c r="N211" s="115"/>
      <c r="O211" s="115"/>
    </row>
    <row r="212" spans="1:15" ht="18" customHeight="1" x14ac:dyDescent="0.2">
      <c r="A212" s="237">
        <v>45614</v>
      </c>
      <c r="B212" s="232" t="s">
        <v>13</v>
      </c>
      <c r="C212" s="44"/>
      <c r="D212" s="44" t="s">
        <v>7</v>
      </c>
      <c r="E212" s="45"/>
      <c r="F212" s="46">
        <v>7</v>
      </c>
      <c r="G212" s="185" t="s">
        <v>13</v>
      </c>
      <c r="H212" s="47"/>
      <c r="I212" s="47" t="s">
        <v>10</v>
      </c>
      <c r="J212" s="46">
        <v>7</v>
      </c>
      <c r="K212" s="48"/>
      <c r="L212" s="115"/>
      <c r="M212" s="115"/>
      <c r="N212" s="115"/>
      <c r="O212" s="115"/>
    </row>
    <row r="213" spans="1:15" ht="18" customHeight="1" x14ac:dyDescent="0.2">
      <c r="A213" s="238"/>
      <c r="B213" s="233"/>
      <c r="C213" s="49"/>
      <c r="D213" s="44" t="s">
        <v>7</v>
      </c>
      <c r="E213" s="45"/>
      <c r="F213" s="46">
        <v>7</v>
      </c>
      <c r="G213" s="235"/>
      <c r="H213" s="50"/>
      <c r="I213" s="51" t="s">
        <v>10</v>
      </c>
      <c r="J213" s="46">
        <v>7</v>
      </c>
      <c r="K213" s="52"/>
      <c r="L213" s="115"/>
      <c r="M213" s="115"/>
      <c r="N213" s="115"/>
      <c r="O213" s="115"/>
    </row>
    <row r="214" spans="1:15" ht="18" customHeight="1" x14ac:dyDescent="0.2">
      <c r="A214" s="238"/>
      <c r="B214" s="233"/>
      <c r="C214" s="49"/>
      <c r="D214" s="44" t="s">
        <v>7</v>
      </c>
      <c r="E214" s="45"/>
      <c r="F214" s="46">
        <v>7</v>
      </c>
      <c r="G214" s="235"/>
      <c r="H214" s="50"/>
      <c r="I214" s="51" t="s">
        <v>10</v>
      </c>
      <c r="J214" s="46">
        <v>7</v>
      </c>
      <c r="K214" s="52"/>
      <c r="L214" s="115"/>
      <c r="M214" s="115"/>
      <c r="N214" s="115"/>
      <c r="O214" s="115"/>
    </row>
    <row r="215" spans="1:15" ht="18.75" customHeight="1" thickBot="1" x14ac:dyDescent="0.25">
      <c r="A215" s="238"/>
      <c r="B215" s="234"/>
      <c r="C215" s="53"/>
      <c r="D215" s="54" t="s">
        <v>7</v>
      </c>
      <c r="E215" s="55"/>
      <c r="F215" s="56">
        <v>7</v>
      </c>
      <c r="G215" s="236"/>
      <c r="H215" s="57"/>
      <c r="I215" s="58" t="s">
        <v>10</v>
      </c>
      <c r="J215" s="56">
        <v>7</v>
      </c>
      <c r="K215" s="59"/>
      <c r="L215" s="115"/>
      <c r="M215" s="115"/>
      <c r="N215" s="115"/>
      <c r="O215" s="115"/>
    </row>
    <row r="216" spans="1:15" ht="18" customHeight="1" x14ac:dyDescent="0.2">
      <c r="A216" s="237">
        <v>45615</v>
      </c>
      <c r="B216" s="202" t="s">
        <v>14</v>
      </c>
      <c r="C216" s="60"/>
      <c r="D216" s="60" t="s">
        <v>7</v>
      </c>
      <c r="E216" s="61"/>
      <c r="F216" s="62">
        <v>7</v>
      </c>
      <c r="G216" s="205" t="s">
        <v>14</v>
      </c>
      <c r="H216" s="44"/>
      <c r="I216" s="44" t="s">
        <v>10</v>
      </c>
      <c r="J216" s="62">
        <v>7</v>
      </c>
      <c r="K216" s="45"/>
      <c r="L216" s="115"/>
      <c r="M216" s="115"/>
      <c r="N216" s="115"/>
      <c r="O216" s="115"/>
    </row>
    <row r="217" spans="1:15" ht="18" customHeight="1" x14ac:dyDescent="0.2">
      <c r="A217" s="238"/>
      <c r="B217" s="203"/>
      <c r="C217" s="63"/>
      <c r="D217" s="64" t="s">
        <v>7</v>
      </c>
      <c r="E217" s="65"/>
      <c r="F217" s="66">
        <v>7</v>
      </c>
      <c r="G217" s="206"/>
      <c r="H217" s="49"/>
      <c r="I217" s="44" t="s">
        <v>10</v>
      </c>
      <c r="J217" s="66">
        <v>7</v>
      </c>
      <c r="K217" s="67"/>
      <c r="L217" s="115"/>
      <c r="M217" s="115"/>
      <c r="N217" s="115"/>
      <c r="O217" s="115"/>
    </row>
    <row r="218" spans="1:15" ht="18" customHeight="1" x14ac:dyDescent="0.2">
      <c r="A218" s="238"/>
      <c r="B218" s="203"/>
      <c r="C218" s="63"/>
      <c r="D218" s="64" t="s">
        <v>7</v>
      </c>
      <c r="E218" s="65"/>
      <c r="F218" s="66">
        <v>7</v>
      </c>
      <c r="G218" s="206"/>
      <c r="H218" s="49"/>
      <c r="I218" s="44" t="s">
        <v>10</v>
      </c>
      <c r="J218" s="66">
        <v>7</v>
      </c>
      <c r="K218" s="67"/>
      <c r="L218" s="115"/>
      <c r="M218" s="115"/>
      <c r="N218" s="115"/>
      <c r="O218" s="115"/>
    </row>
    <row r="219" spans="1:15" ht="18.75" customHeight="1" thickBot="1" x14ac:dyDescent="0.25">
      <c r="A219" s="238"/>
      <c r="B219" s="204"/>
      <c r="C219" s="68"/>
      <c r="D219" s="69" t="s">
        <v>7</v>
      </c>
      <c r="E219" s="70"/>
      <c r="F219" s="71">
        <v>7</v>
      </c>
      <c r="G219" s="207"/>
      <c r="H219" s="53"/>
      <c r="I219" s="54" t="s">
        <v>10</v>
      </c>
      <c r="J219" s="71">
        <v>7</v>
      </c>
      <c r="K219" s="72"/>
      <c r="L219" s="115"/>
      <c r="M219" s="115"/>
      <c r="N219" s="115"/>
      <c r="O219" s="115"/>
    </row>
    <row r="220" spans="1:15" ht="18" customHeight="1" x14ac:dyDescent="0.2">
      <c r="A220" s="237">
        <v>45616</v>
      </c>
      <c r="B220" s="208" t="s">
        <v>15</v>
      </c>
      <c r="C220" s="16"/>
      <c r="D220" s="16" t="s">
        <v>7</v>
      </c>
      <c r="E220" s="73"/>
      <c r="F220" s="74">
        <v>7</v>
      </c>
      <c r="G220" s="211" t="s">
        <v>15</v>
      </c>
      <c r="H220" s="75"/>
      <c r="I220" s="75" t="s">
        <v>10</v>
      </c>
      <c r="J220" s="74">
        <v>7</v>
      </c>
      <c r="K220" s="76"/>
      <c r="L220" s="115"/>
      <c r="M220" s="115"/>
      <c r="N220" s="115"/>
      <c r="O220" s="115"/>
    </row>
    <row r="221" spans="1:15" ht="18" customHeight="1" x14ac:dyDescent="0.2">
      <c r="A221" s="238"/>
      <c r="B221" s="209"/>
      <c r="C221" s="15"/>
      <c r="D221" s="16" t="s">
        <v>7</v>
      </c>
      <c r="E221" s="73"/>
      <c r="F221" s="74">
        <v>7</v>
      </c>
      <c r="G221" s="212"/>
      <c r="H221" s="77"/>
      <c r="I221" s="78" t="s">
        <v>10</v>
      </c>
      <c r="J221" s="74">
        <v>7</v>
      </c>
      <c r="K221" s="79"/>
      <c r="L221" s="115"/>
      <c r="M221" s="115"/>
      <c r="N221" s="115"/>
      <c r="O221" s="115"/>
    </row>
    <row r="222" spans="1:15" ht="18" customHeight="1" x14ac:dyDescent="0.2">
      <c r="A222" s="238"/>
      <c r="B222" s="209"/>
      <c r="C222" s="15"/>
      <c r="D222" s="16" t="s">
        <v>7</v>
      </c>
      <c r="E222" s="73"/>
      <c r="F222" s="74">
        <v>7</v>
      </c>
      <c r="G222" s="212"/>
      <c r="H222" s="77"/>
      <c r="I222" s="78" t="s">
        <v>10</v>
      </c>
      <c r="J222" s="74">
        <v>7</v>
      </c>
      <c r="K222" s="79"/>
      <c r="L222" s="115"/>
      <c r="M222" s="115"/>
      <c r="N222" s="115"/>
      <c r="O222" s="115"/>
    </row>
    <row r="223" spans="1:15" ht="18.75" customHeight="1" thickBot="1" x14ac:dyDescent="0.25">
      <c r="A223" s="238"/>
      <c r="B223" s="210"/>
      <c r="C223" s="80"/>
      <c r="D223" s="81" t="s">
        <v>7</v>
      </c>
      <c r="E223" s="82"/>
      <c r="F223" s="83">
        <v>7</v>
      </c>
      <c r="G223" s="213"/>
      <c r="H223" s="84"/>
      <c r="I223" s="85" t="s">
        <v>10</v>
      </c>
      <c r="J223" s="83">
        <v>7</v>
      </c>
      <c r="K223" s="86"/>
      <c r="L223" s="115"/>
      <c r="M223" s="115"/>
      <c r="N223" s="115"/>
      <c r="O223" s="115"/>
    </row>
    <row r="224" spans="1:15" ht="18" customHeight="1" x14ac:dyDescent="0.2">
      <c r="A224" s="237">
        <v>45617</v>
      </c>
      <c r="B224" s="214" t="s">
        <v>16</v>
      </c>
      <c r="C224" s="87"/>
      <c r="D224" s="87" t="s">
        <v>7</v>
      </c>
      <c r="E224" s="88"/>
      <c r="F224" s="89">
        <v>7</v>
      </c>
      <c r="G224" s="217" t="s">
        <v>16</v>
      </c>
      <c r="H224" s="90"/>
      <c r="I224" s="90" t="s">
        <v>10</v>
      </c>
      <c r="J224" s="89">
        <v>0</v>
      </c>
      <c r="K224" s="91"/>
      <c r="L224" s="115"/>
      <c r="M224" s="115"/>
      <c r="N224" s="115"/>
      <c r="O224" s="115"/>
    </row>
    <row r="225" spans="1:15" ht="18" customHeight="1" x14ac:dyDescent="0.2">
      <c r="A225" s="238"/>
      <c r="B225" s="215"/>
      <c r="C225" s="92"/>
      <c r="D225" s="93" t="s">
        <v>7</v>
      </c>
      <c r="E225" s="94"/>
      <c r="F225" s="95">
        <v>7</v>
      </c>
      <c r="G225" s="218"/>
      <c r="H225" s="96"/>
      <c r="I225" s="97" t="s">
        <v>10</v>
      </c>
      <c r="J225" s="95">
        <v>7</v>
      </c>
      <c r="K225" s="98"/>
      <c r="L225" s="115"/>
      <c r="M225" s="115"/>
      <c r="N225" s="115"/>
      <c r="O225" s="115"/>
    </row>
    <row r="226" spans="1:15" ht="18" customHeight="1" x14ac:dyDescent="0.2">
      <c r="A226" s="238"/>
      <c r="B226" s="215"/>
      <c r="C226" s="92"/>
      <c r="D226" s="93" t="s">
        <v>7</v>
      </c>
      <c r="E226" s="94"/>
      <c r="F226" s="95">
        <v>7</v>
      </c>
      <c r="G226" s="218"/>
      <c r="H226" s="96"/>
      <c r="I226" s="97" t="s">
        <v>10</v>
      </c>
      <c r="J226" s="95">
        <v>7</v>
      </c>
      <c r="K226" s="98"/>
      <c r="L226" s="115"/>
      <c r="M226" s="115"/>
      <c r="N226" s="115"/>
      <c r="O226" s="115"/>
    </row>
    <row r="227" spans="1:15" ht="18.75" customHeight="1" thickBot="1" x14ac:dyDescent="0.25">
      <c r="A227" s="238"/>
      <c r="B227" s="216"/>
      <c r="C227" s="99"/>
      <c r="D227" s="100" t="s">
        <v>7</v>
      </c>
      <c r="E227" s="101"/>
      <c r="F227" s="102">
        <v>7</v>
      </c>
      <c r="G227" s="219"/>
      <c r="H227" s="103"/>
      <c r="I227" s="104" t="s">
        <v>10</v>
      </c>
      <c r="J227" s="102">
        <v>7</v>
      </c>
      <c r="K227" s="105"/>
      <c r="L227" s="115"/>
      <c r="M227" s="115"/>
      <c r="N227" s="115"/>
      <c r="O227" s="115"/>
    </row>
    <row r="228" spans="1:15" ht="23.25" x14ac:dyDescent="0.35">
      <c r="A228" s="118"/>
      <c r="B228" s="106"/>
      <c r="C228" s="107"/>
      <c r="D228" s="194" t="s">
        <v>20</v>
      </c>
      <c r="E228" s="195"/>
      <c r="F228" s="108">
        <f>SUM(F204:F227)</f>
        <v>168</v>
      </c>
      <c r="G228" s="107"/>
      <c r="H228" s="185" t="s">
        <v>20</v>
      </c>
      <c r="I228" s="186"/>
      <c r="J228" s="108">
        <f>SUM(J204:J227)</f>
        <v>161</v>
      </c>
      <c r="K228" s="109"/>
      <c r="L228" s="115"/>
      <c r="M228" s="115"/>
      <c r="N228" s="115"/>
      <c r="O228" s="115"/>
    </row>
    <row r="229" spans="1:15" ht="24" thickBot="1" x14ac:dyDescent="0.4">
      <c r="A229" s="119"/>
      <c r="B229" s="110"/>
      <c r="C229" s="111"/>
      <c r="D229" s="187" t="s">
        <v>21</v>
      </c>
      <c r="E229" s="188"/>
      <c r="F229" s="112">
        <f>F228/240*1</f>
        <v>0.7</v>
      </c>
      <c r="G229" s="111"/>
      <c r="H229" s="189" t="s">
        <v>22</v>
      </c>
      <c r="I229" s="190"/>
      <c r="J229" s="113">
        <f>J228/240*1</f>
        <v>0.67083333333333328</v>
      </c>
      <c r="K229" s="114"/>
      <c r="L229" s="115"/>
      <c r="M229" s="115"/>
      <c r="N229" s="115"/>
      <c r="O229" s="115"/>
    </row>
    <row r="230" spans="1:15" ht="24" thickBot="1" x14ac:dyDescent="0.4">
      <c r="A230" s="120">
        <v>9</v>
      </c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</row>
    <row r="231" spans="1:15" ht="21" thickBot="1" x14ac:dyDescent="0.35">
      <c r="A231" s="244" t="s">
        <v>25</v>
      </c>
      <c r="B231" s="191" t="s">
        <v>0</v>
      </c>
      <c r="C231" s="192"/>
      <c r="D231" s="192"/>
      <c r="E231" s="192"/>
      <c r="F231" s="192"/>
      <c r="G231" s="192"/>
      <c r="H231" s="192"/>
      <c r="I231" s="192"/>
      <c r="J231" s="192"/>
      <c r="K231" s="193"/>
      <c r="L231" s="115"/>
      <c r="M231" s="115"/>
      <c r="N231" s="115"/>
      <c r="O231" s="115"/>
    </row>
    <row r="232" spans="1:15" ht="21" thickBot="1" x14ac:dyDescent="0.35">
      <c r="A232" s="245"/>
      <c r="B232" s="196" t="s">
        <v>17</v>
      </c>
      <c r="C232" s="197"/>
      <c r="D232" s="197"/>
      <c r="E232" s="197"/>
      <c r="F232" s="198"/>
      <c r="G232" s="199" t="s">
        <v>1</v>
      </c>
      <c r="H232" s="200"/>
      <c r="I232" s="200"/>
      <c r="J232" s="200"/>
      <c r="K232" s="201"/>
      <c r="L232" s="115"/>
      <c r="M232" s="115"/>
      <c r="N232" s="115"/>
      <c r="O232" s="115"/>
    </row>
    <row r="233" spans="1:15" ht="41.25" thickBot="1" x14ac:dyDescent="0.25">
      <c r="A233" s="246"/>
      <c r="B233" s="2" t="s">
        <v>2</v>
      </c>
      <c r="C233" s="3" t="s">
        <v>6</v>
      </c>
      <c r="D233" s="3" t="s">
        <v>7</v>
      </c>
      <c r="E233" s="3" t="s">
        <v>8</v>
      </c>
      <c r="F233" s="4" t="s">
        <v>19</v>
      </c>
      <c r="G233" s="5" t="s">
        <v>2</v>
      </c>
      <c r="H233" s="6" t="s">
        <v>3</v>
      </c>
      <c r="I233" s="6" t="s">
        <v>4</v>
      </c>
      <c r="J233" s="7" t="s">
        <v>18</v>
      </c>
      <c r="K233" s="8" t="s">
        <v>5</v>
      </c>
      <c r="L233" s="115"/>
      <c r="M233" s="115"/>
      <c r="N233" s="115"/>
      <c r="O233" s="115"/>
    </row>
    <row r="234" spans="1:15" ht="18" x14ac:dyDescent="0.2">
      <c r="A234" s="237">
        <v>45619</v>
      </c>
      <c r="B234" s="220" t="s">
        <v>9</v>
      </c>
      <c r="C234" s="9"/>
      <c r="D234" s="9" t="s">
        <v>7</v>
      </c>
      <c r="E234" s="10"/>
      <c r="F234" s="11">
        <v>7</v>
      </c>
      <c r="G234" s="223" t="s">
        <v>9</v>
      </c>
      <c r="H234" s="12"/>
      <c r="I234" s="12" t="s">
        <v>10</v>
      </c>
      <c r="J234" s="11">
        <v>7</v>
      </c>
      <c r="K234" s="13"/>
      <c r="L234" s="115"/>
      <c r="M234" s="115"/>
      <c r="N234" s="115"/>
      <c r="O234" s="115"/>
    </row>
    <row r="235" spans="1:15" ht="18" x14ac:dyDescent="0.2">
      <c r="A235" s="238"/>
      <c r="B235" s="221"/>
      <c r="C235" s="14"/>
      <c r="D235" s="9" t="s">
        <v>7</v>
      </c>
      <c r="E235" s="10"/>
      <c r="F235" s="11">
        <v>7</v>
      </c>
      <c r="G235" s="224"/>
      <c r="H235" s="15"/>
      <c r="I235" s="16" t="s">
        <v>10</v>
      </c>
      <c r="J235" s="11">
        <v>7</v>
      </c>
      <c r="K235" s="17"/>
      <c r="L235" s="115"/>
      <c r="M235" s="115"/>
      <c r="N235" s="115"/>
      <c r="O235" s="115"/>
    </row>
    <row r="236" spans="1:15" ht="18" x14ac:dyDescent="0.2">
      <c r="A236" s="238"/>
      <c r="B236" s="221"/>
      <c r="C236" s="14"/>
      <c r="D236" s="9" t="s">
        <v>7</v>
      </c>
      <c r="E236" s="10"/>
      <c r="F236" s="11">
        <v>7</v>
      </c>
      <c r="G236" s="224"/>
      <c r="H236" s="15"/>
      <c r="I236" s="16" t="s">
        <v>10</v>
      </c>
      <c r="J236" s="11">
        <v>7</v>
      </c>
      <c r="K236" s="17"/>
      <c r="L236" s="115"/>
      <c r="M236" s="115"/>
      <c r="N236" s="115"/>
      <c r="O236" s="115"/>
    </row>
    <row r="237" spans="1:15" ht="18.75" thickBot="1" x14ac:dyDescent="0.25">
      <c r="A237" s="238"/>
      <c r="B237" s="222"/>
      <c r="C237" s="18"/>
      <c r="D237" s="19" t="s">
        <v>7</v>
      </c>
      <c r="E237" s="20"/>
      <c r="F237" s="21">
        <v>7</v>
      </c>
      <c r="G237" s="225"/>
      <c r="H237" s="22"/>
      <c r="I237" s="23" t="s">
        <v>10</v>
      </c>
      <c r="J237" s="21">
        <v>7</v>
      </c>
      <c r="K237" s="24"/>
      <c r="L237" s="115"/>
      <c r="M237" s="115"/>
      <c r="N237" s="115"/>
      <c r="O237" s="115"/>
    </row>
    <row r="238" spans="1:15" ht="18" customHeight="1" x14ac:dyDescent="0.2">
      <c r="A238" s="237">
        <v>45620</v>
      </c>
      <c r="B238" s="226" t="s">
        <v>12</v>
      </c>
      <c r="C238" s="25"/>
      <c r="D238" s="25" t="s">
        <v>7</v>
      </c>
      <c r="E238" s="26"/>
      <c r="F238" s="27">
        <v>7</v>
      </c>
      <c r="G238" s="229" t="s">
        <v>12</v>
      </c>
      <c r="H238" s="28"/>
      <c r="I238" s="28" t="s">
        <v>10</v>
      </c>
      <c r="J238" s="27">
        <v>7</v>
      </c>
      <c r="K238" s="29"/>
      <c r="L238" s="115"/>
      <c r="M238" s="115"/>
      <c r="N238" s="115"/>
      <c r="O238" s="115"/>
    </row>
    <row r="239" spans="1:15" ht="18" customHeight="1" x14ac:dyDescent="0.2">
      <c r="A239" s="238"/>
      <c r="B239" s="227"/>
      <c r="C239" s="30"/>
      <c r="D239" s="31" t="s">
        <v>7</v>
      </c>
      <c r="E239" s="32"/>
      <c r="F239" s="33">
        <v>7</v>
      </c>
      <c r="G239" s="230"/>
      <c r="H239" s="34"/>
      <c r="I239" s="35" t="s">
        <v>10</v>
      </c>
      <c r="J239" s="33">
        <v>7</v>
      </c>
      <c r="K239" s="36"/>
      <c r="L239" s="115"/>
      <c r="M239" s="115"/>
      <c r="N239" s="115"/>
      <c r="O239" s="115"/>
    </row>
    <row r="240" spans="1:15" ht="18" customHeight="1" x14ac:dyDescent="0.2">
      <c r="A240" s="238"/>
      <c r="B240" s="227"/>
      <c r="C240" s="30"/>
      <c r="D240" s="31" t="s">
        <v>7</v>
      </c>
      <c r="E240" s="32"/>
      <c r="F240" s="33">
        <v>7</v>
      </c>
      <c r="G240" s="230"/>
      <c r="H240" s="34"/>
      <c r="I240" s="35" t="s">
        <v>10</v>
      </c>
      <c r="J240" s="33">
        <v>7</v>
      </c>
      <c r="K240" s="36"/>
      <c r="L240" s="115"/>
      <c r="M240" s="115"/>
      <c r="N240" s="115"/>
      <c r="O240" s="115"/>
    </row>
    <row r="241" spans="1:15" ht="18.75" customHeight="1" thickBot="1" x14ac:dyDescent="0.25">
      <c r="A241" s="238"/>
      <c r="B241" s="228"/>
      <c r="C241" s="37"/>
      <c r="D241" s="38" t="s">
        <v>7</v>
      </c>
      <c r="E241" s="39"/>
      <c r="F241" s="40">
        <v>7</v>
      </c>
      <c r="G241" s="231"/>
      <c r="H241" s="41"/>
      <c r="I241" s="42" t="s">
        <v>10</v>
      </c>
      <c r="J241" s="40">
        <v>7</v>
      </c>
      <c r="K241" s="43"/>
      <c r="L241" s="115"/>
      <c r="M241" s="115"/>
      <c r="N241" s="115"/>
      <c r="O241" s="115"/>
    </row>
    <row r="242" spans="1:15" ht="18" customHeight="1" x14ac:dyDescent="0.2">
      <c r="A242" s="237">
        <v>45621</v>
      </c>
      <c r="B242" s="232" t="s">
        <v>13</v>
      </c>
      <c r="C242" s="44"/>
      <c r="D242" s="44" t="s">
        <v>7</v>
      </c>
      <c r="E242" s="45"/>
      <c r="F242" s="46">
        <v>7</v>
      </c>
      <c r="G242" s="185" t="s">
        <v>13</v>
      </c>
      <c r="H242" s="47"/>
      <c r="I242" s="47" t="s">
        <v>10</v>
      </c>
      <c r="J242" s="46">
        <v>7</v>
      </c>
      <c r="K242" s="48"/>
      <c r="L242" s="115"/>
      <c r="M242" s="115"/>
      <c r="N242" s="115"/>
      <c r="O242" s="115"/>
    </row>
    <row r="243" spans="1:15" ht="18" customHeight="1" x14ac:dyDescent="0.2">
      <c r="A243" s="238"/>
      <c r="B243" s="233"/>
      <c r="C243" s="49"/>
      <c r="D243" s="44" t="s">
        <v>7</v>
      </c>
      <c r="E243" s="45"/>
      <c r="F243" s="46">
        <v>7</v>
      </c>
      <c r="G243" s="235"/>
      <c r="H243" s="50"/>
      <c r="I243" s="51" t="s">
        <v>10</v>
      </c>
      <c r="J243" s="46">
        <v>7</v>
      </c>
      <c r="K243" s="52"/>
      <c r="L243" s="115"/>
      <c r="M243" s="115"/>
      <c r="N243" s="115"/>
      <c r="O243" s="115"/>
    </row>
    <row r="244" spans="1:15" ht="18" customHeight="1" x14ac:dyDescent="0.2">
      <c r="A244" s="238"/>
      <c r="B244" s="233"/>
      <c r="C244" s="49"/>
      <c r="D244" s="44" t="s">
        <v>7</v>
      </c>
      <c r="E244" s="45"/>
      <c r="F244" s="46">
        <v>7</v>
      </c>
      <c r="G244" s="235"/>
      <c r="H244" s="50"/>
      <c r="I244" s="51" t="s">
        <v>10</v>
      </c>
      <c r="J244" s="46">
        <v>7</v>
      </c>
      <c r="K244" s="52"/>
      <c r="L244" s="115"/>
      <c r="M244" s="115"/>
      <c r="N244" s="115"/>
      <c r="O244" s="115"/>
    </row>
    <row r="245" spans="1:15" ht="18.75" customHeight="1" thickBot="1" x14ac:dyDescent="0.25">
      <c r="A245" s="238"/>
      <c r="B245" s="234"/>
      <c r="C245" s="53"/>
      <c r="D245" s="54" t="s">
        <v>7</v>
      </c>
      <c r="E245" s="55"/>
      <c r="F245" s="56">
        <v>7</v>
      </c>
      <c r="G245" s="236"/>
      <c r="H245" s="57"/>
      <c r="I245" s="58" t="s">
        <v>10</v>
      </c>
      <c r="J245" s="56">
        <v>7</v>
      </c>
      <c r="K245" s="59"/>
      <c r="L245" s="115"/>
      <c r="M245" s="115"/>
      <c r="N245" s="115"/>
      <c r="O245" s="115"/>
    </row>
    <row r="246" spans="1:15" ht="18" customHeight="1" x14ac:dyDescent="0.2">
      <c r="A246" s="237">
        <v>45622</v>
      </c>
      <c r="B246" s="202" t="s">
        <v>14</v>
      </c>
      <c r="C246" s="60"/>
      <c r="D246" s="60" t="s">
        <v>7</v>
      </c>
      <c r="E246" s="61"/>
      <c r="F246" s="62">
        <v>7</v>
      </c>
      <c r="G246" s="205" t="s">
        <v>14</v>
      </c>
      <c r="H246" s="44"/>
      <c r="I246" s="44" t="s">
        <v>10</v>
      </c>
      <c r="J246" s="62">
        <v>7</v>
      </c>
      <c r="K246" s="45"/>
      <c r="L246" s="115"/>
      <c r="M246" s="115"/>
      <c r="N246" s="115"/>
      <c r="O246" s="115"/>
    </row>
    <row r="247" spans="1:15" ht="18" customHeight="1" x14ac:dyDescent="0.2">
      <c r="A247" s="238"/>
      <c r="B247" s="203"/>
      <c r="C247" s="63"/>
      <c r="D247" s="64" t="s">
        <v>7</v>
      </c>
      <c r="E247" s="65"/>
      <c r="F247" s="66">
        <v>7</v>
      </c>
      <c r="G247" s="206"/>
      <c r="H247" s="49"/>
      <c r="I247" s="44" t="s">
        <v>10</v>
      </c>
      <c r="J247" s="66">
        <v>7</v>
      </c>
      <c r="K247" s="67"/>
      <c r="L247" s="115"/>
      <c r="M247" s="115"/>
      <c r="N247" s="115"/>
      <c r="O247" s="115"/>
    </row>
    <row r="248" spans="1:15" ht="18" customHeight="1" x14ac:dyDescent="0.2">
      <c r="A248" s="238"/>
      <c r="B248" s="203"/>
      <c r="C248" s="63"/>
      <c r="D248" s="64" t="s">
        <v>7</v>
      </c>
      <c r="E248" s="65"/>
      <c r="F248" s="66">
        <v>7</v>
      </c>
      <c r="G248" s="206"/>
      <c r="H248" s="49"/>
      <c r="I248" s="44" t="s">
        <v>10</v>
      </c>
      <c r="J248" s="66">
        <v>7</v>
      </c>
      <c r="K248" s="67"/>
      <c r="L248" s="115"/>
      <c r="M248" s="115"/>
      <c r="N248" s="115"/>
      <c r="O248" s="115"/>
    </row>
    <row r="249" spans="1:15" ht="18.75" customHeight="1" thickBot="1" x14ac:dyDescent="0.25">
      <c r="A249" s="238"/>
      <c r="B249" s="204"/>
      <c r="C249" s="68"/>
      <c r="D249" s="69" t="s">
        <v>7</v>
      </c>
      <c r="E249" s="70"/>
      <c r="F249" s="71">
        <v>7</v>
      </c>
      <c r="G249" s="207"/>
      <c r="H249" s="53"/>
      <c r="I249" s="54" t="s">
        <v>10</v>
      </c>
      <c r="J249" s="71">
        <v>7</v>
      </c>
      <c r="K249" s="72"/>
      <c r="L249" s="115"/>
      <c r="M249" s="115"/>
      <c r="N249" s="115"/>
      <c r="O249" s="115"/>
    </row>
    <row r="250" spans="1:15" ht="18" customHeight="1" x14ac:dyDescent="0.2">
      <c r="A250" s="237">
        <v>45623</v>
      </c>
      <c r="B250" s="208" t="s">
        <v>15</v>
      </c>
      <c r="C250" s="16"/>
      <c r="D250" s="16" t="s">
        <v>7</v>
      </c>
      <c r="E250" s="73"/>
      <c r="F250" s="74">
        <v>7</v>
      </c>
      <c r="G250" s="211" t="s">
        <v>15</v>
      </c>
      <c r="H250" s="75"/>
      <c r="I250" s="75" t="s">
        <v>10</v>
      </c>
      <c r="J250" s="74">
        <v>7</v>
      </c>
      <c r="K250" s="76"/>
      <c r="L250" s="115"/>
      <c r="M250" s="115"/>
      <c r="N250" s="115"/>
      <c r="O250" s="115"/>
    </row>
    <row r="251" spans="1:15" ht="18" customHeight="1" x14ac:dyDescent="0.2">
      <c r="A251" s="238"/>
      <c r="B251" s="209"/>
      <c r="C251" s="15"/>
      <c r="D251" s="16" t="s">
        <v>7</v>
      </c>
      <c r="E251" s="73"/>
      <c r="F251" s="74">
        <v>7</v>
      </c>
      <c r="G251" s="212"/>
      <c r="H251" s="77"/>
      <c r="I251" s="78" t="s">
        <v>10</v>
      </c>
      <c r="J251" s="74">
        <v>7</v>
      </c>
      <c r="K251" s="79"/>
      <c r="L251" s="115"/>
      <c r="M251" s="115"/>
      <c r="N251" s="115"/>
      <c r="O251" s="115"/>
    </row>
    <row r="252" spans="1:15" ht="18" customHeight="1" x14ac:dyDescent="0.2">
      <c r="A252" s="238"/>
      <c r="B252" s="209"/>
      <c r="C252" s="15"/>
      <c r="D252" s="16" t="s">
        <v>7</v>
      </c>
      <c r="E252" s="73"/>
      <c r="F252" s="74">
        <v>7</v>
      </c>
      <c r="G252" s="212"/>
      <c r="H252" s="77"/>
      <c r="I252" s="78" t="s">
        <v>10</v>
      </c>
      <c r="J252" s="74">
        <v>7</v>
      </c>
      <c r="K252" s="79"/>
      <c r="L252" s="115"/>
      <c r="M252" s="115"/>
      <c r="N252" s="115"/>
      <c r="O252" s="115"/>
    </row>
    <row r="253" spans="1:15" ht="18.75" customHeight="1" thickBot="1" x14ac:dyDescent="0.25">
      <c r="A253" s="238"/>
      <c r="B253" s="210"/>
      <c r="C253" s="80"/>
      <c r="D253" s="81" t="s">
        <v>7</v>
      </c>
      <c r="E253" s="82"/>
      <c r="F253" s="83">
        <v>7</v>
      </c>
      <c r="G253" s="213"/>
      <c r="H253" s="84"/>
      <c r="I253" s="85" t="s">
        <v>10</v>
      </c>
      <c r="J253" s="83">
        <v>7</v>
      </c>
      <c r="K253" s="86"/>
      <c r="L253" s="115"/>
      <c r="M253" s="115"/>
      <c r="N253" s="115"/>
      <c r="O253" s="115"/>
    </row>
    <row r="254" spans="1:15" ht="18" customHeight="1" x14ac:dyDescent="0.2">
      <c r="A254" s="237">
        <v>45624</v>
      </c>
      <c r="B254" s="214" t="s">
        <v>16</v>
      </c>
      <c r="C254" s="87"/>
      <c r="D254" s="87" t="s">
        <v>7</v>
      </c>
      <c r="E254" s="88"/>
      <c r="F254" s="89">
        <v>7</v>
      </c>
      <c r="G254" s="217" t="s">
        <v>16</v>
      </c>
      <c r="H254" s="90"/>
      <c r="I254" s="90" t="s">
        <v>10</v>
      </c>
      <c r="J254" s="89">
        <v>0</v>
      </c>
      <c r="K254" s="91"/>
      <c r="L254" s="115"/>
      <c r="M254" s="115"/>
      <c r="N254" s="115"/>
      <c r="O254" s="115"/>
    </row>
    <row r="255" spans="1:15" ht="18" customHeight="1" x14ac:dyDescent="0.2">
      <c r="A255" s="238"/>
      <c r="B255" s="215"/>
      <c r="C255" s="92"/>
      <c r="D255" s="93" t="s">
        <v>7</v>
      </c>
      <c r="E255" s="94"/>
      <c r="F255" s="95">
        <v>7</v>
      </c>
      <c r="G255" s="218"/>
      <c r="H255" s="96"/>
      <c r="I255" s="97" t="s">
        <v>10</v>
      </c>
      <c r="J255" s="95">
        <v>7</v>
      </c>
      <c r="K255" s="98"/>
      <c r="L255" s="115"/>
      <c r="M255" s="115"/>
      <c r="N255" s="115"/>
      <c r="O255" s="115"/>
    </row>
    <row r="256" spans="1:15" ht="18" customHeight="1" x14ac:dyDescent="0.2">
      <c r="A256" s="238"/>
      <c r="B256" s="215"/>
      <c r="C256" s="92"/>
      <c r="D256" s="93" t="s">
        <v>7</v>
      </c>
      <c r="E256" s="94"/>
      <c r="F256" s="95">
        <v>7</v>
      </c>
      <c r="G256" s="218"/>
      <c r="H256" s="96"/>
      <c r="I256" s="97" t="s">
        <v>10</v>
      </c>
      <c r="J256" s="95">
        <v>7</v>
      </c>
      <c r="K256" s="98"/>
      <c r="L256" s="115"/>
      <c r="M256" s="115"/>
      <c r="N256" s="115"/>
      <c r="O256" s="115"/>
    </row>
    <row r="257" spans="1:15" ht="18.75" customHeight="1" thickBot="1" x14ac:dyDescent="0.25">
      <c r="A257" s="238"/>
      <c r="B257" s="216"/>
      <c r="C257" s="99"/>
      <c r="D257" s="100" t="s">
        <v>7</v>
      </c>
      <c r="E257" s="101"/>
      <c r="F257" s="102">
        <v>7</v>
      </c>
      <c r="G257" s="219"/>
      <c r="H257" s="103"/>
      <c r="I257" s="104" t="s">
        <v>10</v>
      </c>
      <c r="J257" s="102">
        <v>7</v>
      </c>
      <c r="K257" s="105"/>
      <c r="L257" s="115"/>
      <c r="M257" s="115"/>
      <c r="N257" s="115"/>
      <c r="O257" s="115"/>
    </row>
    <row r="258" spans="1:15" ht="23.25" x14ac:dyDescent="0.35">
      <c r="A258" s="118"/>
      <c r="B258" s="106"/>
      <c r="C258" s="107"/>
      <c r="D258" s="194" t="s">
        <v>20</v>
      </c>
      <c r="E258" s="195"/>
      <c r="F258" s="108">
        <f>SUM(F234:F257)</f>
        <v>168</v>
      </c>
      <c r="G258" s="107"/>
      <c r="H258" s="185" t="s">
        <v>20</v>
      </c>
      <c r="I258" s="186"/>
      <c r="J258" s="108">
        <f>SUM(J234:J257)</f>
        <v>161</v>
      </c>
      <c r="K258" s="109"/>
      <c r="L258" s="115"/>
      <c r="M258" s="115"/>
      <c r="N258" s="115"/>
      <c r="O258" s="115"/>
    </row>
    <row r="259" spans="1:15" ht="24" thickBot="1" x14ac:dyDescent="0.4">
      <c r="A259" s="119"/>
      <c r="B259" s="110"/>
      <c r="C259" s="111"/>
      <c r="D259" s="187" t="s">
        <v>21</v>
      </c>
      <c r="E259" s="188"/>
      <c r="F259" s="112">
        <f>F258/240*1</f>
        <v>0.7</v>
      </c>
      <c r="G259" s="111"/>
      <c r="H259" s="189" t="s">
        <v>22</v>
      </c>
      <c r="I259" s="190"/>
      <c r="J259" s="113">
        <f>J258/240*1</f>
        <v>0.67083333333333328</v>
      </c>
      <c r="K259" s="114"/>
      <c r="L259" s="115"/>
      <c r="M259" s="115"/>
      <c r="N259" s="115"/>
      <c r="O259" s="115"/>
    </row>
    <row r="260" spans="1:15" ht="24" thickBot="1" x14ac:dyDescent="0.4">
      <c r="A260" s="120">
        <v>10</v>
      </c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</row>
    <row r="261" spans="1:15" ht="21" thickBot="1" x14ac:dyDescent="0.35">
      <c r="A261" s="244" t="s">
        <v>25</v>
      </c>
      <c r="B261" s="191" t="s">
        <v>0</v>
      </c>
      <c r="C261" s="192"/>
      <c r="D261" s="192"/>
      <c r="E261" s="192"/>
      <c r="F261" s="192"/>
      <c r="G261" s="192"/>
      <c r="H261" s="192"/>
      <c r="I261" s="192"/>
      <c r="J261" s="192"/>
      <c r="K261" s="193"/>
      <c r="L261" s="115"/>
      <c r="M261" s="115"/>
      <c r="N261" s="115"/>
      <c r="O261" s="115"/>
    </row>
    <row r="262" spans="1:15" ht="21" thickBot="1" x14ac:dyDescent="0.35">
      <c r="A262" s="245"/>
      <c r="B262" s="196" t="s">
        <v>17</v>
      </c>
      <c r="C262" s="197"/>
      <c r="D262" s="197"/>
      <c r="E262" s="197"/>
      <c r="F262" s="198"/>
      <c r="G262" s="199" t="s">
        <v>1</v>
      </c>
      <c r="H262" s="200"/>
      <c r="I262" s="200"/>
      <c r="J262" s="200"/>
      <c r="K262" s="201"/>
      <c r="L262" s="115"/>
      <c r="M262" s="115"/>
      <c r="N262" s="115"/>
      <c r="O262" s="115"/>
    </row>
    <row r="263" spans="1:15" ht="41.25" thickBot="1" x14ac:dyDescent="0.25">
      <c r="A263" s="246"/>
      <c r="B263" s="2" t="s">
        <v>2</v>
      </c>
      <c r="C263" s="3" t="s">
        <v>6</v>
      </c>
      <c r="D263" s="3" t="s">
        <v>7</v>
      </c>
      <c r="E263" s="3" t="s">
        <v>8</v>
      </c>
      <c r="F263" s="4" t="s">
        <v>19</v>
      </c>
      <c r="G263" s="5" t="s">
        <v>2</v>
      </c>
      <c r="H263" s="6" t="s">
        <v>3</v>
      </c>
      <c r="I263" s="6" t="s">
        <v>4</v>
      </c>
      <c r="J263" s="7" t="s">
        <v>18</v>
      </c>
      <c r="K263" s="8" t="s">
        <v>5</v>
      </c>
      <c r="L263" s="115"/>
      <c r="M263" s="115"/>
      <c r="N263" s="115"/>
      <c r="O263" s="115"/>
    </row>
    <row r="264" spans="1:15" ht="18" x14ac:dyDescent="0.2">
      <c r="A264" s="237">
        <v>45626</v>
      </c>
      <c r="B264" s="220" t="s">
        <v>9</v>
      </c>
      <c r="C264" s="9"/>
      <c r="D264" s="9" t="s">
        <v>7</v>
      </c>
      <c r="E264" s="10"/>
      <c r="F264" s="11">
        <v>7</v>
      </c>
      <c r="G264" s="223" t="s">
        <v>9</v>
      </c>
      <c r="H264" s="12"/>
      <c r="I264" s="12" t="s">
        <v>10</v>
      </c>
      <c r="J264" s="11">
        <v>7</v>
      </c>
      <c r="K264" s="13"/>
      <c r="L264" s="115"/>
      <c r="M264" s="115"/>
      <c r="N264" s="115"/>
      <c r="O264" s="115"/>
    </row>
    <row r="265" spans="1:15" ht="18" x14ac:dyDescent="0.2">
      <c r="A265" s="238"/>
      <c r="B265" s="221"/>
      <c r="C265" s="14"/>
      <c r="D265" s="9" t="s">
        <v>7</v>
      </c>
      <c r="E265" s="10"/>
      <c r="F265" s="11">
        <v>7</v>
      </c>
      <c r="G265" s="224"/>
      <c r="H265" s="15"/>
      <c r="I265" s="16" t="s">
        <v>10</v>
      </c>
      <c r="J265" s="11">
        <v>7</v>
      </c>
      <c r="K265" s="17"/>
      <c r="L265" s="115"/>
      <c r="M265" s="115"/>
      <c r="N265" s="115"/>
      <c r="O265" s="115"/>
    </row>
    <row r="266" spans="1:15" ht="18" x14ac:dyDescent="0.2">
      <c r="A266" s="238"/>
      <c r="B266" s="221"/>
      <c r="C266" s="14"/>
      <c r="D266" s="9" t="s">
        <v>7</v>
      </c>
      <c r="E266" s="10"/>
      <c r="F266" s="11">
        <v>7</v>
      </c>
      <c r="G266" s="224"/>
      <c r="H266" s="15"/>
      <c r="I266" s="16" t="s">
        <v>10</v>
      </c>
      <c r="J266" s="11">
        <v>7</v>
      </c>
      <c r="K266" s="17"/>
      <c r="L266" s="115"/>
      <c r="M266" s="115"/>
      <c r="N266" s="115"/>
      <c r="O266" s="115"/>
    </row>
    <row r="267" spans="1:15" ht="18.75" thickBot="1" x14ac:dyDescent="0.25">
      <c r="A267" s="238"/>
      <c r="B267" s="222"/>
      <c r="C267" s="18"/>
      <c r="D267" s="19" t="s">
        <v>7</v>
      </c>
      <c r="E267" s="20"/>
      <c r="F267" s="21">
        <v>7</v>
      </c>
      <c r="G267" s="225"/>
      <c r="H267" s="22"/>
      <c r="I267" s="23" t="s">
        <v>10</v>
      </c>
      <c r="J267" s="21">
        <v>7</v>
      </c>
      <c r="K267" s="24"/>
      <c r="L267" s="115"/>
      <c r="M267" s="115"/>
      <c r="N267" s="115"/>
      <c r="O267" s="115"/>
    </row>
    <row r="268" spans="1:15" ht="18" customHeight="1" x14ac:dyDescent="0.2">
      <c r="A268" s="237">
        <v>45627</v>
      </c>
      <c r="B268" s="226" t="s">
        <v>12</v>
      </c>
      <c r="C268" s="25"/>
      <c r="D268" s="25" t="s">
        <v>7</v>
      </c>
      <c r="E268" s="26"/>
      <c r="F268" s="27">
        <v>7</v>
      </c>
      <c r="G268" s="229" t="s">
        <v>12</v>
      </c>
      <c r="H268" s="28"/>
      <c r="I268" s="28" t="s">
        <v>10</v>
      </c>
      <c r="J268" s="27">
        <v>7</v>
      </c>
      <c r="K268" s="29"/>
      <c r="L268" s="115"/>
      <c r="M268" s="115"/>
      <c r="N268" s="115"/>
      <c r="O268" s="115"/>
    </row>
    <row r="269" spans="1:15" ht="18" customHeight="1" x14ac:dyDescent="0.2">
      <c r="A269" s="238"/>
      <c r="B269" s="227"/>
      <c r="C269" s="30"/>
      <c r="D269" s="31" t="s">
        <v>7</v>
      </c>
      <c r="E269" s="32"/>
      <c r="F269" s="33">
        <v>7</v>
      </c>
      <c r="G269" s="230"/>
      <c r="H269" s="34"/>
      <c r="I269" s="35" t="s">
        <v>10</v>
      </c>
      <c r="J269" s="33">
        <v>7</v>
      </c>
      <c r="K269" s="36"/>
      <c r="L269" s="115"/>
      <c r="M269" s="115"/>
      <c r="N269" s="115"/>
      <c r="O269" s="115"/>
    </row>
    <row r="270" spans="1:15" ht="18" customHeight="1" x14ac:dyDescent="0.2">
      <c r="A270" s="238"/>
      <c r="B270" s="227"/>
      <c r="C270" s="30"/>
      <c r="D270" s="31" t="s">
        <v>7</v>
      </c>
      <c r="E270" s="32"/>
      <c r="F270" s="33">
        <v>7</v>
      </c>
      <c r="G270" s="230"/>
      <c r="H270" s="34"/>
      <c r="I270" s="35" t="s">
        <v>10</v>
      </c>
      <c r="J270" s="33">
        <v>7</v>
      </c>
      <c r="K270" s="36"/>
      <c r="L270" s="115"/>
      <c r="M270" s="115"/>
      <c r="N270" s="115"/>
      <c r="O270" s="115"/>
    </row>
    <row r="271" spans="1:15" ht="18.75" customHeight="1" thickBot="1" x14ac:dyDescent="0.25">
      <c r="A271" s="238"/>
      <c r="B271" s="228"/>
      <c r="C271" s="37"/>
      <c r="D271" s="38" t="s">
        <v>7</v>
      </c>
      <c r="E271" s="39"/>
      <c r="F271" s="40">
        <v>7</v>
      </c>
      <c r="G271" s="231"/>
      <c r="H271" s="41"/>
      <c r="I271" s="42" t="s">
        <v>10</v>
      </c>
      <c r="J271" s="40">
        <v>7</v>
      </c>
      <c r="K271" s="43"/>
      <c r="L271" s="115"/>
      <c r="M271" s="115"/>
      <c r="N271" s="115"/>
      <c r="O271" s="115"/>
    </row>
    <row r="272" spans="1:15" ht="18" customHeight="1" x14ac:dyDescent="0.2">
      <c r="A272" s="237">
        <v>45628</v>
      </c>
      <c r="B272" s="232" t="s">
        <v>13</v>
      </c>
      <c r="C272" s="44"/>
      <c r="D272" s="44" t="s">
        <v>7</v>
      </c>
      <c r="E272" s="45"/>
      <c r="F272" s="46">
        <v>7</v>
      </c>
      <c r="G272" s="185" t="s">
        <v>13</v>
      </c>
      <c r="H272" s="47"/>
      <c r="I272" s="47" t="s">
        <v>10</v>
      </c>
      <c r="J272" s="46">
        <v>7</v>
      </c>
      <c r="K272" s="48"/>
      <c r="L272" s="115"/>
      <c r="M272" s="115"/>
      <c r="N272" s="115"/>
      <c r="O272" s="115"/>
    </row>
    <row r="273" spans="1:15" ht="18" customHeight="1" x14ac:dyDescent="0.2">
      <c r="A273" s="238"/>
      <c r="B273" s="233"/>
      <c r="C273" s="49"/>
      <c r="D273" s="44" t="s">
        <v>7</v>
      </c>
      <c r="E273" s="45"/>
      <c r="F273" s="46">
        <v>7</v>
      </c>
      <c r="G273" s="235"/>
      <c r="H273" s="50"/>
      <c r="I273" s="51" t="s">
        <v>10</v>
      </c>
      <c r="J273" s="46">
        <v>7</v>
      </c>
      <c r="K273" s="52"/>
      <c r="L273" s="115"/>
      <c r="M273" s="115"/>
      <c r="N273" s="115"/>
      <c r="O273" s="115"/>
    </row>
    <row r="274" spans="1:15" ht="18" customHeight="1" x14ac:dyDescent="0.2">
      <c r="A274" s="238"/>
      <c r="B274" s="233"/>
      <c r="C274" s="49"/>
      <c r="D274" s="44" t="s">
        <v>7</v>
      </c>
      <c r="E274" s="45"/>
      <c r="F274" s="46">
        <v>7</v>
      </c>
      <c r="G274" s="235"/>
      <c r="H274" s="50"/>
      <c r="I274" s="51" t="s">
        <v>10</v>
      </c>
      <c r="J274" s="46">
        <v>7</v>
      </c>
      <c r="K274" s="52"/>
      <c r="L274" s="115"/>
      <c r="M274" s="115"/>
      <c r="N274" s="115"/>
      <c r="O274" s="115"/>
    </row>
    <row r="275" spans="1:15" ht="18.75" customHeight="1" thickBot="1" x14ac:dyDescent="0.25">
      <c r="A275" s="238"/>
      <c r="B275" s="234"/>
      <c r="C275" s="53"/>
      <c r="D275" s="54" t="s">
        <v>7</v>
      </c>
      <c r="E275" s="55"/>
      <c r="F275" s="56">
        <v>7</v>
      </c>
      <c r="G275" s="236"/>
      <c r="H275" s="57"/>
      <c r="I275" s="58" t="s">
        <v>10</v>
      </c>
      <c r="J275" s="56">
        <v>7</v>
      </c>
      <c r="K275" s="59"/>
      <c r="L275" s="115"/>
      <c r="M275" s="115"/>
      <c r="N275" s="115"/>
      <c r="O275" s="115"/>
    </row>
    <row r="276" spans="1:15" ht="18" customHeight="1" x14ac:dyDescent="0.2">
      <c r="A276" s="237">
        <v>45629</v>
      </c>
      <c r="B276" s="202" t="s">
        <v>14</v>
      </c>
      <c r="C276" s="60"/>
      <c r="D276" s="60" t="s">
        <v>7</v>
      </c>
      <c r="E276" s="61"/>
      <c r="F276" s="62">
        <v>7</v>
      </c>
      <c r="G276" s="205" t="s">
        <v>14</v>
      </c>
      <c r="H276" s="44"/>
      <c r="I276" s="44" t="s">
        <v>10</v>
      </c>
      <c r="J276" s="62">
        <v>7</v>
      </c>
      <c r="K276" s="45"/>
      <c r="L276" s="115"/>
      <c r="M276" s="115"/>
      <c r="N276" s="115"/>
      <c r="O276" s="115"/>
    </row>
    <row r="277" spans="1:15" ht="18" customHeight="1" x14ac:dyDescent="0.2">
      <c r="A277" s="238"/>
      <c r="B277" s="203"/>
      <c r="C277" s="63"/>
      <c r="D277" s="64" t="s">
        <v>7</v>
      </c>
      <c r="E277" s="65"/>
      <c r="F277" s="66">
        <v>7</v>
      </c>
      <c r="G277" s="206"/>
      <c r="H277" s="49"/>
      <c r="I277" s="44" t="s">
        <v>10</v>
      </c>
      <c r="J277" s="66">
        <v>7</v>
      </c>
      <c r="K277" s="67"/>
      <c r="L277" s="115"/>
      <c r="M277" s="115"/>
      <c r="N277" s="115"/>
      <c r="O277" s="115"/>
    </row>
    <row r="278" spans="1:15" ht="18" customHeight="1" x14ac:dyDescent="0.2">
      <c r="A278" s="238"/>
      <c r="B278" s="203"/>
      <c r="C278" s="63"/>
      <c r="D278" s="64" t="s">
        <v>7</v>
      </c>
      <c r="E278" s="65"/>
      <c r="F278" s="66">
        <v>7</v>
      </c>
      <c r="G278" s="206"/>
      <c r="H278" s="49"/>
      <c r="I278" s="44" t="s">
        <v>10</v>
      </c>
      <c r="J278" s="66">
        <v>7</v>
      </c>
      <c r="K278" s="67"/>
      <c r="L278" s="115"/>
      <c r="M278" s="115"/>
      <c r="N278" s="115"/>
      <c r="O278" s="115"/>
    </row>
    <row r="279" spans="1:15" ht="18.75" customHeight="1" thickBot="1" x14ac:dyDescent="0.25">
      <c r="A279" s="238"/>
      <c r="B279" s="204"/>
      <c r="C279" s="68"/>
      <c r="D279" s="69" t="s">
        <v>7</v>
      </c>
      <c r="E279" s="70"/>
      <c r="F279" s="71">
        <v>7</v>
      </c>
      <c r="G279" s="207"/>
      <c r="H279" s="53"/>
      <c r="I279" s="54" t="s">
        <v>10</v>
      </c>
      <c r="J279" s="71">
        <v>7</v>
      </c>
      <c r="K279" s="72"/>
      <c r="L279" s="115"/>
      <c r="M279" s="115"/>
      <c r="N279" s="115"/>
      <c r="O279" s="115"/>
    </row>
    <row r="280" spans="1:15" ht="18" customHeight="1" x14ac:dyDescent="0.2">
      <c r="A280" s="237">
        <v>45630</v>
      </c>
      <c r="B280" s="208" t="s">
        <v>15</v>
      </c>
      <c r="C280" s="16"/>
      <c r="D280" s="16" t="s">
        <v>7</v>
      </c>
      <c r="E280" s="73"/>
      <c r="F280" s="74">
        <v>7</v>
      </c>
      <c r="G280" s="211" t="s">
        <v>15</v>
      </c>
      <c r="H280" s="75"/>
      <c r="I280" s="75" t="s">
        <v>10</v>
      </c>
      <c r="J280" s="74">
        <v>7</v>
      </c>
      <c r="K280" s="76"/>
      <c r="L280" s="115"/>
      <c r="M280" s="115"/>
      <c r="N280" s="115"/>
      <c r="O280" s="115"/>
    </row>
    <row r="281" spans="1:15" ht="18" customHeight="1" x14ac:dyDescent="0.2">
      <c r="A281" s="238"/>
      <c r="B281" s="209"/>
      <c r="C281" s="15"/>
      <c r="D281" s="16" t="s">
        <v>7</v>
      </c>
      <c r="E281" s="73"/>
      <c r="F281" s="74">
        <v>7</v>
      </c>
      <c r="G281" s="212"/>
      <c r="H281" s="77"/>
      <c r="I281" s="78" t="s">
        <v>10</v>
      </c>
      <c r="J281" s="74">
        <v>7</v>
      </c>
      <c r="K281" s="79"/>
      <c r="L281" s="115"/>
      <c r="M281" s="115"/>
      <c r="N281" s="115"/>
      <c r="O281" s="115"/>
    </row>
    <row r="282" spans="1:15" ht="18" customHeight="1" x14ac:dyDescent="0.2">
      <c r="A282" s="238"/>
      <c r="B282" s="209"/>
      <c r="C282" s="15"/>
      <c r="D282" s="16" t="s">
        <v>7</v>
      </c>
      <c r="E282" s="73"/>
      <c r="F282" s="74">
        <v>7</v>
      </c>
      <c r="G282" s="212"/>
      <c r="H282" s="77"/>
      <c r="I282" s="78" t="s">
        <v>10</v>
      </c>
      <c r="J282" s="74">
        <v>7</v>
      </c>
      <c r="K282" s="79"/>
      <c r="L282" s="115"/>
      <c r="M282" s="115"/>
      <c r="N282" s="115"/>
      <c r="O282" s="115"/>
    </row>
    <row r="283" spans="1:15" ht="18.75" customHeight="1" thickBot="1" x14ac:dyDescent="0.25">
      <c r="A283" s="238"/>
      <c r="B283" s="210"/>
      <c r="C283" s="80"/>
      <c r="D283" s="81" t="s">
        <v>7</v>
      </c>
      <c r="E283" s="82"/>
      <c r="F283" s="83">
        <v>7</v>
      </c>
      <c r="G283" s="213"/>
      <c r="H283" s="84"/>
      <c r="I283" s="85" t="s">
        <v>10</v>
      </c>
      <c r="J283" s="83">
        <v>7</v>
      </c>
      <c r="K283" s="86"/>
      <c r="L283" s="115"/>
      <c r="M283" s="115"/>
      <c r="N283" s="115"/>
      <c r="O283" s="115"/>
    </row>
    <row r="284" spans="1:15" ht="18" customHeight="1" x14ac:dyDescent="0.2">
      <c r="A284" s="237">
        <v>45631</v>
      </c>
      <c r="B284" s="214" t="s">
        <v>16</v>
      </c>
      <c r="C284" s="87"/>
      <c r="D284" s="87" t="s">
        <v>7</v>
      </c>
      <c r="E284" s="88"/>
      <c r="F284" s="89">
        <v>7</v>
      </c>
      <c r="G284" s="217" t="s">
        <v>16</v>
      </c>
      <c r="H284" s="90"/>
      <c r="I284" s="90" t="s">
        <v>10</v>
      </c>
      <c r="J284" s="89">
        <v>0</v>
      </c>
      <c r="K284" s="91"/>
      <c r="L284" s="115"/>
      <c r="M284" s="115"/>
      <c r="N284" s="115"/>
      <c r="O284" s="115"/>
    </row>
    <row r="285" spans="1:15" ht="18" customHeight="1" x14ac:dyDescent="0.2">
      <c r="A285" s="238"/>
      <c r="B285" s="215"/>
      <c r="C285" s="92"/>
      <c r="D285" s="93" t="s">
        <v>7</v>
      </c>
      <c r="E285" s="94"/>
      <c r="F285" s="95">
        <v>7</v>
      </c>
      <c r="G285" s="218"/>
      <c r="H285" s="96"/>
      <c r="I285" s="97" t="s">
        <v>10</v>
      </c>
      <c r="J285" s="95">
        <v>7</v>
      </c>
      <c r="K285" s="98"/>
      <c r="L285" s="115"/>
      <c r="M285" s="115"/>
      <c r="N285" s="115"/>
      <c r="O285" s="115"/>
    </row>
    <row r="286" spans="1:15" ht="18" customHeight="1" x14ac:dyDescent="0.2">
      <c r="A286" s="238"/>
      <c r="B286" s="215"/>
      <c r="C286" s="92"/>
      <c r="D286" s="93" t="s">
        <v>7</v>
      </c>
      <c r="E286" s="94"/>
      <c r="F286" s="95">
        <v>7</v>
      </c>
      <c r="G286" s="218"/>
      <c r="H286" s="96"/>
      <c r="I286" s="97" t="s">
        <v>10</v>
      </c>
      <c r="J286" s="95">
        <v>7</v>
      </c>
      <c r="K286" s="98"/>
      <c r="L286" s="115"/>
      <c r="M286" s="115"/>
      <c r="N286" s="115"/>
      <c r="O286" s="115"/>
    </row>
    <row r="287" spans="1:15" ht="18.75" customHeight="1" thickBot="1" x14ac:dyDescent="0.25">
      <c r="A287" s="238"/>
      <c r="B287" s="216"/>
      <c r="C287" s="99"/>
      <c r="D287" s="100" t="s">
        <v>7</v>
      </c>
      <c r="E287" s="101"/>
      <c r="F287" s="102">
        <v>7</v>
      </c>
      <c r="G287" s="219"/>
      <c r="H287" s="103"/>
      <c r="I287" s="104" t="s">
        <v>10</v>
      </c>
      <c r="J287" s="102">
        <v>7</v>
      </c>
      <c r="K287" s="105"/>
      <c r="L287" s="115"/>
      <c r="M287" s="115"/>
      <c r="N287" s="115"/>
      <c r="O287" s="115"/>
    </row>
    <row r="288" spans="1:15" ht="23.25" x14ac:dyDescent="0.35">
      <c r="A288" s="118"/>
      <c r="B288" s="106"/>
      <c r="C288" s="107"/>
      <c r="D288" s="194" t="s">
        <v>20</v>
      </c>
      <c r="E288" s="195"/>
      <c r="F288" s="108">
        <f>SUM(F264:F287)</f>
        <v>168</v>
      </c>
      <c r="G288" s="107"/>
      <c r="H288" s="185" t="s">
        <v>20</v>
      </c>
      <c r="I288" s="186"/>
      <c r="J288" s="108">
        <f>SUM(J264:J287)</f>
        <v>161</v>
      </c>
      <c r="K288" s="109"/>
      <c r="L288" s="115"/>
      <c r="M288" s="115"/>
      <c r="N288" s="115"/>
      <c r="O288" s="115"/>
    </row>
    <row r="289" spans="1:15" ht="24" thickBot="1" x14ac:dyDescent="0.4">
      <c r="A289" s="119"/>
      <c r="B289" s="110"/>
      <c r="C289" s="111"/>
      <c r="D289" s="187" t="s">
        <v>21</v>
      </c>
      <c r="E289" s="188"/>
      <c r="F289" s="112">
        <f>F288/240*1</f>
        <v>0.7</v>
      </c>
      <c r="G289" s="111"/>
      <c r="H289" s="189" t="s">
        <v>22</v>
      </c>
      <c r="I289" s="190"/>
      <c r="J289" s="113">
        <f>J288/240*1</f>
        <v>0.67083333333333328</v>
      </c>
      <c r="K289" s="114"/>
      <c r="L289" s="115"/>
      <c r="M289" s="115"/>
      <c r="N289" s="115"/>
      <c r="O289" s="115"/>
    </row>
    <row r="290" spans="1:15" ht="24" thickBot="1" x14ac:dyDescent="0.4">
      <c r="A290" s="120">
        <v>11</v>
      </c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</row>
    <row r="291" spans="1:15" ht="21" thickBot="1" x14ac:dyDescent="0.35">
      <c r="A291" s="244" t="s">
        <v>25</v>
      </c>
      <c r="B291" s="191" t="s">
        <v>0</v>
      </c>
      <c r="C291" s="192"/>
      <c r="D291" s="192"/>
      <c r="E291" s="192"/>
      <c r="F291" s="192"/>
      <c r="G291" s="192"/>
      <c r="H291" s="192"/>
      <c r="I291" s="192"/>
      <c r="J291" s="192"/>
      <c r="K291" s="193"/>
      <c r="L291" s="115"/>
      <c r="M291" s="115"/>
      <c r="N291" s="115"/>
      <c r="O291" s="115"/>
    </row>
    <row r="292" spans="1:15" ht="21" thickBot="1" x14ac:dyDescent="0.35">
      <c r="A292" s="245"/>
      <c r="B292" s="196" t="s">
        <v>17</v>
      </c>
      <c r="C292" s="197"/>
      <c r="D292" s="197"/>
      <c r="E292" s="197"/>
      <c r="F292" s="198"/>
      <c r="G292" s="199" t="s">
        <v>1</v>
      </c>
      <c r="H292" s="200"/>
      <c r="I292" s="200"/>
      <c r="J292" s="200"/>
      <c r="K292" s="201"/>
      <c r="L292" s="115"/>
      <c r="M292" s="115"/>
      <c r="N292" s="115"/>
      <c r="O292" s="115"/>
    </row>
    <row r="293" spans="1:15" ht="41.25" thickBot="1" x14ac:dyDescent="0.25">
      <c r="A293" s="246"/>
      <c r="B293" s="2" t="s">
        <v>2</v>
      </c>
      <c r="C293" s="3" t="s">
        <v>6</v>
      </c>
      <c r="D293" s="3" t="s">
        <v>7</v>
      </c>
      <c r="E293" s="3" t="s">
        <v>8</v>
      </c>
      <c r="F293" s="4" t="s">
        <v>19</v>
      </c>
      <c r="G293" s="5" t="s">
        <v>2</v>
      </c>
      <c r="H293" s="6" t="s">
        <v>3</v>
      </c>
      <c r="I293" s="6" t="s">
        <v>4</v>
      </c>
      <c r="J293" s="7" t="s">
        <v>18</v>
      </c>
      <c r="K293" s="8" t="s">
        <v>5</v>
      </c>
      <c r="L293" s="115"/>
      <c r="M293" s="115"/>
      <c r="N293" s="115"/>
      <c r="O293" s="115"/>
    </row>
    <row r="294" spans="1:15" ht="18" x14ac:dyDescent="0.2">
      <c r="A294" s="237">
        <v>45633</v>
      </c>
      <c r="B294" s="220" t="s">
        <v>9</v>
      </c>
      <c r="C294" s="9"/>
      <c r="D294" s="9" t="s">
        <v>7</v>
      </c>
      <c r="E294" s="10"/>
      <c r="F294" s="11">
        <v>7</v>
      </c>
      <c r="G294" s="223" t="s">
        <v>9</v>
      </c>
      <c r="H294" s="12"/>
      <c r="I294" s="12" t="s">
        <v>10</v>
      </c>
      <c r="J294" s="11">
        <v>7</v>
      </c>
      <c r="K294" s="13"/>
      <c r="L294" s="115"/>
      <c r="M294" s="115"/>
      <c r="N294" s="115"/>
      <c r="O294" s="115"/>
    </row>
    <row r="295" spans="1:15" ht="18" x14ac:dyDescent="0.2">
      <c r="A295" s="238"/>
      <c r="B295" s="221"/>
      <c r="C295" s="14"/>
      <c r="D295" s="9" t="s">
        <v>7</v>
      </c>
      <c r="E295" s="10"/>
      <c r="F295" s="11">
        <v>7</v>
      </c>
      <c r="G295" s="224"/>
      <c r="H295" s="15"/>
      <c r="I295" s="16" t="s">
        <v>10</v>
      </c>
      <c r="J295" s="11">
        <v>7</v>
      </c>
      <c r="K295" s="17"/>
      <c r="L295" s="115"/>
      <c r="M295" s="115"/>
      <c r="N295" s="115"/>
      <c r="O295" s="115"/>
    </row>
    <row r="296" spans="1:15" ht="18" x14ac:dyDescent="0.2">
      <c r="A296" s="238"/>
      <c r="B296" s="221"/>
      <c r="C296" s="14"/>
      <c r="D296" s="9" t="s">
        <v>7</v>
      </c>
      <c r="E296" s="10"/>
      <c r="F296" s="11">
        <v>7</v>
      </c>
      <c r="G296" s="224"/>
      <c r="H296" s="15"/>
      <c r="I296" s="16" t="s">
        <v>10</v>
      </c>
      <c r="J296" s="11">
        <v>7</v>
      </c>
      <c r="K296" s="17"/>
      <c r="L296" s="115"/>
      <c r="M296" s="115"/>
      <c r="N296" s="115"/>
      <c r="O296" s="115"/>
    </row>
    <row r="297" spans="1:15" ht="18.75" thickBot="1" x14ac:dyDescent="0.25">
      <c r="A297" s="238"/>
      <c r="B297" s="222"/>
      <c r="C297" s="18"/>
      <c r="D297" s="19" t="s">
        <v>7</v>
      </c>
      <c r="E297" s="20"/>
      <c r="F297" s="21">
        <v>7</v>
      </c>
      <c r="G297" s="225"/>
      <c r="H297" s="22"/>
      <c r="I297" s="23" t="s">
        <v>10</v>
      </c>
      <c r="J297" s="21">
        <v>7</v>
      </c>
      <c r="K297" s="24"/>
      <c r="L297" s="115"/>
      <c r="M297" s="115"/>
      <c r="N297" s="115"/>
      <c r="O297" s="115"/>
    </row>
    <row r="298" spans="1:15" ht="18" customHeight="1" x14ac:dyDescent="0.2">
      <c r="A298" s="237">
        <v>45634</v>
      </c>
      <c r="B298" s="226" t="s">
        <v>12</v>
      </c>
      <c r="C298" s="25"/>
      <c r="D298" s="25" t="s">
        <v>7</v>
      </c>
      <c r="E298" s="26"/>
      <c r="F298" s="27">
        <v>7</v>
      </c>
      <c r="G298" s="229" t="s">
        <v>12</v>
      </c>
      <c r="H298" s="28"/>
      <c r="I298" s="28" t="s">
        <v>10</v>
      </c>
      <c r="J298" s="27">
        <v>7</v>
      </c>
      <c r="K298" s="29"/>
      <c r="L298" s="115"/>
      <c r="M298" s="115"/>
      <c r="N298" s="115"/>
      <c r="O298" s="115"/>
    </row>
    <row r="299" spans="1:15" ht="18" customHeight="1" x14ac:dyDescent="0.2">
      <c r="A299" s="238"/>
      <c r="B299" s="227"/>
      <c r="C299" s="30"/>
      <c r="D299" s="31" t="s">
        <v>7</v>
      </c>
      <c r="E299" s="32"/>
      <c r="F299" s="33">
        <v>7</v>
      </c>
      <c r="G299" s="230"/>
      <c r="H299" s="34"/>
      <c r="I299" s="35" t="s">
        <v>10</v>
      </c>
      <c r="J299" s="33">
        <v>7</v>
      </c>
      <c r="K299" s="36"/>
      <c r="L299" s="115"/>
      <c r="M299" s="115"/>
      <c r="N299" s="115"/>
      <c r="O299" s="115"/>
    </row>
    <row r="300" spans="1:15" ht="18" customHeight="1" x14ac:dyDescent="0.2">
      <c r="A300" s="238"/>
      <c r="B300" s="227"/>
      <c r="C300" s="30"/>
      <c r="D300" s="31" t="s">
        <v>7</v>
      </c>
      <c r="E300" s="32"/>
      <c r="F300" s="33">
        <v>7</v>
      </c>
      <c r="G300" s="230"/>
      <c r="H300" s="34"/>
      <c r="I300" s="35" t="s">
        <v>10</v>
      </c>
      <c r="J300" s="33">
        <v>7</v>
      </c>
      <c r="K300" s="36"/>
      <c r="L300" s="115"/>
      <c r="M300" s="115"/>
      <c r="N300" s="115"/>
      <c r="O300" s="115"/>
    </row>
    <row r="301" spans="1:15" ht="18.75" customHeight="1" thickBot="1" x14ac:dyDescent="0.25">
      <c r="A301" s="238"/>
      <c r="B301" s="228"/>
      <c r="C301" s="37"/>
      <c r="D301" s="38" t="s">
        <v>7</v>
      </c>
      <c r="E301" s="39"/>
      <c r="F301" s="40">
        <v>7</v>
      </c>
      <c r="G301" s="231"/>
      <c r="H301" s="41"/>
      <c r="I301" s="42" t="s">
        <v>10</v>
      </c>
      <c r="J301" s="40">
        <v>7</v>
      </c>
      <c r="K301" s="43"/>
      <c r="L301" s="115"/>
      <c r="M301" s="115"/>
      <c r="N301" s="115"/>
      <c r="O301" s="115"/>
    </row>
    <row r="302" spans="1:15" ht="18" customHeight="1" x14ac:dyDescent="0.2">
      <c r="A302" s="237">
        <v>45635</v>
      </c>
      <c r="B302" s="232" t="s">
        <v>13</v>
      </c>
      <c r="C302" s="44"/>
      <c r="D302" s="44" t="s">
        <v>7</v>
      </c>
      <c r="E302" s="45"/>
      <c r="F302" s="46">
        <v>7</v>
      </c>
      <c r="G302" s="185" t="s">
        <v>13</v>
      </c>
      <c r="H302" s="47"/>
      <c r="I302" s="47" t="s">
        <v>10</v>
      </c>
      <c r="J302" s="46">
        <v>7</v>
      </c>
      <c r="K302" s="48"/>
      <c r="L302" s="115"/>
      <c r="M302" s="115"/>
      <c r="N302" s="115"/>
      <c r="O302" s="115"/>
    </row>
    <row r="303" spans="1:15" ht="18" customHeight="1" x14ac:dyDescent="0.2">
      <c r="A303" s="238"/>
      <c r="B303" s="233"/>
      <c r="C303" s="49"/>
      <c r="D303" s="44" t="s">
        <v>7</v>
      </c>
      <c r="E303" s="45"/>
      <c r="F303" s="46">
        <v>7</v>
      </c>
      <c r="G303" s="235"/>
      <c r="H303" s="50"/>
      <c r="I303" s="51" t="s">
        <v>10</v>
      </c>
      <c r="J303" s="46">
        <v>7</v>
      </c>
      <c r="K303" s="52"/>
      <c r="L303" s="115"/>
      <c r="M303" s="115"/>
      <c r="N303" s="115"/>
      <c r="O303" s="115"/>
    </row>
    <row r="304" spans="1:15" ht="18" customHeight="1" x14ac:dyDescent="0.2">
      <c r="A304" s="238"/>
      <c r="B304" s="233"/>
      <c r="C304" s="49"/>
      <c r="D304" s="44" t="s">
        <v>7</v>
      </c>
      <c r="E304" s="45"/>
      <c r="F304" s="46">
        <v>7</v>
      </c>
      <c r="G304" s="235"/>
      <c r="H304" s="50"/>
      <c r="I304" s="51" t="s">
        <v>10</v>
      </c>
      <c r="J304" s="46">
        <v>7</v>
      </c>
      <c r="K304" s="52"/>
      <c r="L304" s="115"/>
      <c r="M304" s="115"/>
      <c r="N304" s="115"/>
      <c r="O304" s="115"/>
    </row>
    <row r="305" spans="1:15" ht="18.75" customHeight="1" thickBot="1" x14ac:dyDescent="0.25">
      <c r="A305" s="238"/>
      <c r="B305" s="234"/>
      <c r="C305" s="53"/>
      <c r="D305" s="54" t="s">
        <v>7</v>
      </c>
      <c r="E305" s="55"/>
      <c r="F305" s="56">
        <v>7</v>
      </c>
      <c r="G305" s="236"/>
      <c r="H305" s="57"/>
      <c r="I305" s="58" t="s">
        <v>10</v>
      </c>
      <c r="J305" s="56">
        <v>7</v>
      </c>
      <c r="K305" s="59"/>
      <c r="L305" s="115"/>
      <c r="M305" s="115"/>
      <c r="N305" s="115"/>
      <c r="O305" s="115"/>
    </row>
    <row r="306" spans="1:15" ht="18" customHeight="1" x14ac:dyDescent="0.2">
      <c r="A306" s="237">
        <v>45636</v>
      </c>
      <c r="B306" s="202" t="s">
        <v>14</v>
      </c>
      <c r="C306" s="60"/>
      <c r="D306" s="60" t="s">
        <v>7</v>
      </c>
      <c r="E306" s="61"/>
      <c r="F306" s="62">
        <v>7</v>
      </c>
      <c r="G306" s="205" t="s">
        <v>14</v>
      </c>
      <c r="H306" s="44"/>
      <c r="I306" s="44" t="s">
        <v>10</v>
      </c>
      <c r="J306" s="62">
        <v>7</v>
      </c>
      <c r="K306" s="45"/>
      <c r="L306" s="115"/>
      <c r="M306" s="115"/>
      <c r="N306" s="115"/>
      <c r="O306" s="115"/>
    </row>
    <row r="307" spans="1:15" ht="18" customHeight="1" x14ac:dyDescent="0.2">
      <c r="A307" s="238"/>
      <c r="B307" s="203"/>
      <c r="C307" s="63"/>
      <c r="D307" s="64" t="s">
        <v>7</v>
      </c>
      <c r="E307" s="65"/>
      <c r="F307" s="66">
        <v>7</v>
      </c>
      <c r="G307" s="206"/>
      <c r="H307" s="49"/>
      <c r="I307" s="44" t="s">
        <v>10</v>
      </c>
      <c r="J307" s="66">
        <v>7</v>
      </c>
      <c r="K307" s="67"/>
      <c r="L307" s="115"/>
      <c r="M307" s="115"/>
      <c r="N307" s="115"/>
      <c r="O307" s="115"/>
    </row>
    <row r="308" spans="1:15" ht="18" customHeight="1" x14ac:dyDescent="0.2">
      <c r="A308" s="238"/>
      <c r="B308" s="203"/>
      <c r="C308" s="63"/>
      <c r="D308" s="64" t="s">
        <v>7</v>
      </c>
      <c r="E308" s="65"/>
      <c r="F308" s="66">
        <v>7</v>
      </c>
      <c r="G308" s="206"/>
      <c r="H308" s="49"/>
      <c r="I308" s="44" t="s">
        <v>10</v>
      </c>
      <c r="J308" s="66">
        <v>7</v>
      </c>
      <c r="K308" s="67"/>
      <c r="L308" s="115"/>
      <c r="M308" s="115"/>
      <c r="N308" s="115"/>
      <c r="O308" s="115"/>
    </row>
    <row r="309" spans="1:15" ht="18.75" customHeight="1" thickBot="1" x14ac:dyDescent="0.25">
      <c r="A309" s="238"/>
      <c r="B309" s="204"/>
      <c r="C309" s="68"/>
      <c r="D309" s="69" t="s">
        <v>7</v>
      </c>
      <c r="E309" s="70"/>
      <c r="F309" s="71">
        <v>7</v>
      </c>
      <c r="G309" s="207"/>
      <c r="H309" s="53"/>
      <c r="I309" s="54" t="s">
        <v>10</v>
      </c>
      <c r="J309" s="71">
        <v>7</v>
      </c>
      <c r="K309" s="72"/>
      <c r="L309" s="115"/>
      <c r="M309" s="115"/>
      <c r="N309" s="115"/>
      <c r="O309" s="115"/>
    </row>
    <row r="310" spans="1:15" ht="18" customHeight="1" x14ac:dyDescent="0.2">
      <c r="A310" s="237">
        <v>45637</v>
      </c>
      <c r="B310" s="208" t="s">
        <v>15</v>
      </c>
      <c r="C310" s="16"/>
      <c r="D310" s="16" t="s">
        <v>7</v>
      </c>
      <c r="E310" s="73"/>
      <c r="F310" s="74">
        <v>7</v>
      </c>
      <c r="G310" s="211" t="s">
        <v>15</v>
      </c>
      <c r="H310" s="75"/>
      <c r="I310" s="75" t="s">
        <v>10</v>
      </c>
      <c r="J310" s="74">
        <v>7</v>
      </c>
      <c r="K310" s="76"/>
      <c r="L310" s="115"/>
      <c r="M310" s="115"/>
      <c r="N310" s="115"/>
      <c r="O310" s="115"/>
    </row>
    <row r="311" spans="1:15" ht="18" customHeight="1" x14ac:dyDescent="0.2">
      <c r="A311" s="238"/>
      <c r="B311" s="209"/>
      <c r="C311" s="15"/>
      <c r="D311" s="16" t="s">
        <v>7</v>
      </c>
      <c r="E311" s="73"/>
      <c r="F311" s="74">
        <v>7</v>
      </c>
      <c r="G311" s="212"/>
      <c r="H311" s="77"/>
      <c r="I311" s="78" t="s">
        <v>10</v>
      </c>
      <c r="J311" s="74">
        <v>7</v>
      </c>
      <c r="K311" s="79"/>
      <c r="L311" s="115"/>
      <c r="M311" s="115"/>
      <c r="N311" s="115"/>
      <c r="O311" s="115"/>
    </row>
    <row r="312" spans="1:15" ht="18" customHeight="1" x14ac:dyDescent="0.2">
      <c r="A312" s="238"/>
      <c r="B312" s="209"/>
      <c r="C312" s="15"/>
      <c r="D312" s="16" t="s">
        <v>7</v>
      </c>
      <c r="E312" s="73"/>
      <c r="F312" s="74">
        <v>7</v>
      </c>
      <c r="G312" s="212"/>
      <c r="H312" s="77"/>
      <c r="I312" s="78" t="s">
        <v>10</v>
      </c>
      <c r="J312" s="74">
        <v>7</v>
      </c>
      <c r="K312" s="79"/>
      <c r="L312" s="115"/>
      <c r="M312" s="115"/>
      <c r="N312" s="115"/>
      <c r="O312" s="115"/>
    </row>
    <row r="313" spans="1:15" ht="18.75" customHeight="1" thickBot="1" x14ac:dyDescent="0.25">
      <c r="A313" s="238"/>
      <c r="B313" s="210"/>
      <c r="C313" s="80"/>
      <c r="D313" s="81" t="s">
        <v>7</v>
      </c>
      <c r="E313" s="82"/>
      <c r="F313" s="83">
        <v>7</v>
      </c>
      <c r="G313" s="213"/>
      <c r="H313" s="84"/>
      <c r="I313" s="85" t="s">
        <v>10</v>
      </c>
      <c r="J313" s="83">
        <v>7</v>
      </c>
      <c r="K313" s="86"/>
      <c r="L313" s="115"/>
      <c r="M313" s="115"/>
      <c r="N313" s="115"/>
      <c r="O313" s="115"/>
    </row>
    <row r="314" spans="1:15" ht="18" customHeight="1" x14ac:dyDescent="0.2">
      <c r="A314" s="237">
        <v>45638</v>
      </c>
      <c r="B314" s="214" t="s">
        <v>16</v>
      </c>
      <c r="C314" s="87"/>
      <c r="D314" s="87" t="s">
        <v>7</v>
      </c>
      <c r="E314" s="88"/>
      <c r="F314" s="89">
        <v>7</v>
      </c>
      <c r="G314" s="217" t="s">
        <v>16</v>
      </c>
      <c r="H314" s="90"/>
      <c r="I314" s="90" t="s">
        <v>10</v>
      </c>
      <c r="J314" s="89">
        <v>0</v>
      </c>
      <c r="K314" s="91"/>
      <c r="L314" s="115"/>
      <c r="M314" s="115"/>
      <c r="N314" s="115"/>
      <c r="O314" s="115"/>
    </row>
    <row r="315" spans="1:15" ht="18" customHeight="1" x14ac:dyDescent="0.2">
      <c r="A315" s="238"/>
      <c r="B315" s="215"/>
      <c r="C315" s="92"/>
      <c r="D315" s="93" t="s">
        <v>7</v>
      </c>
      <c r="E315" s="94"/>
      <c r="F315" s="95">
        <v>7</v>
      </c>
      <c r="G315" s="218"/>
      <c r="H315" s="96"/>
      <c r="I315" s="97" t="s">
        <v>10</v>
      </c>
      <c r="J315" s="95">
        <v>7</v>
      </c>
      <c r="K315" s="98"/>
      <c r="L315" s="115"/>
      <c r="M315" s="115"/>
      <c r="N315" s="115"/>
      <c r="O315" s="115"/>
    </row>
    <row r="316" spans="1:15" ht="18" customHeight="1" x14ac:dyDescent="0.2">
      <c r="A316" s="238"/>
      <c r="B316" s="215"/>
      <c r="C316" s="92"/>
      <c r="D316" s="93" t="s">
        <v>7</v>
      </c>
      <c r="E316" s="94"/>
      <c r="F316" s="95">
        <v>7</v>
      </c>
      <c r="G316" s="218"/>
      <c r="H316" s="96"/>
      <c r="I316" s="97" t="s">
        <v>10</v>
      </c>
      <c r="J316" s="95">
        <v>7</v>
      </c>
      <c r="K316" s="98"/>
      <c r="L316" s="115"/>
      <c r="M316" s="115"/>
      <c r="N316" s="115"/>
      <c r="O316" s="115"/>
    </row>
    <row r="317" spans="1:15" ht="18.75" customHeight="1" thickBot="1" x14ac:dyDescent="0.25">
      <c r="A317" s="238"/>
      <c r="B317" s="216"/>
      <c r="C317" s="99"/>
      <c r="D317" s="100" t="s">
        <v>7</v>
      </c>
      <c r="E317" s="101"/>
      <c r="F317" s="102">
        <v>7</v>
      </c>
      <c r="G317" s="219"/>
      <c r="H317" s="103"/>
      <c r="I317" s="104" t="s">
        <v>10</v>
      </c>
      <c r="J317" s="102">
        <v>7</v>
      </c>
      <c r="K317" s="105"/>
      <c r="L317" s="115"/>
      <c r="M317" s="115"/>
      <c r="N317" s="115"/>
      <c r="O317" s="115"/>
    </row>
    <row r="318" spans="1:15" ht="23.25" x14ac:dyDescent="0.35">
      <c r="A318" s="118"/>
      <c r="B318" s="106"/>
      <c r="C318" s="107"/>
      <c r="D318" s="194" t="s">
        <v>20</v>
      </c>
      <c r="E318" s="195"/>
      <c r="F318" s="108">
        <f>SUM(F294:F317)</f>
        <v>168</v>
      </c>
      <c r="G318" s="107"/>
      <c r="H318" s="185" t="s">
        <v>20</v>
      </c>
      <c r="I318" s="186"/>
      <c r="J318" s="108">
        <f>SUM(J294:J317)</f>
        <v>161</v>
      </c>
      <c r="K318" s="109"/>
      <c r="L318" s="115"/>
      <c r="M318" s="115"/>
      <c r="N318" s="115"/>
      <c r="O318" s="115"/>
    </row>
    <row r="319" spans="1:15" ht="24" thickBot="1" x14ac:dyDescent="0.4">
      <c r="A319" s="119"/>
      <c r="B319" s="110"/>
      <c r="C319" s="111"/>
      <c r="D319" s="187" t="s">
        <v>21</v>
      </c>
      <c r="E319" s="188"/>
      <c r="F319" s="112">
        <f>F318/240*1</f>
        <v>0.7</v>
      </c>
      <c r="G319" s="111"/>
      <c r="H319" s="189" t="s">
        <v>22</v>
      </c>
      <c r="I319" s="190"/>
      <c r="J319" s="113">
        <f>J318/240*1</f>
        <v>0.67083333333333328</v>
      </c>
      <c r="K319" s="114"/>
      <c r="L319" s="115"/>
      <c r="M319" s="115"/>
      <c r="N319" s="115"/>
      <c r="O319" s="115"/>
    </row>
    <row r="320" spans="1:15" ht="24" thickBot="1" x14ac:dyDescent="0.4">
      <c r="A320" s="120">
        <v>12</v>
      </c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</row>
    <row r="321" spans="1:15" ht="21" thickBot="1" x14ac:dyDescent="0.35">
      <c r="A321" s="244" t="s">
        <v>25</v>
      </c>
      <c r="B321" s="191" t="s">
        <v>0</v>
      </c>
      <c r="C321" s="192"/>
      <c r="D321" s="192"/>
      <c r="E321" s="192"/>
      <c r="F321" s="192"/>
      <c r="G321" s="192"/>
      <c r="H321" s="192"/>
      <c r="I321" s="192"/>
      <c r="J321" s="192"/>
      <c r="K321" s="193"/>
      <c r="L321" s="115"/>
      <c r="M321" s="115"/>
      <c r="N321" s="115"/>
      <c r="O321" s="115"/>
    </row>
    <row r="322" spans="1:15" ht="21" thickBot="1" x14ac:dyDescent="0.35">
      <c r="A322" s="245"/>
      <c r="B322" s="196" t="s">
        <v>17</v>
      </c>
      <c r="C322" s="197"/>
      <c r="D322" s="197"/>
      <c r="E322" s="197"/>
      <c r="F322" s="198"/>
      <c r="G322" s="199" t="s">
        <v>1</v>
      </c>
      <c r="H322" s="200"/>
      <c r="I322" s="200"/>
      <c r="J322" s="200"/>
      <c r="K322" s="201"/>
      <c r="L322" s="115"/>
      <c r="M322" s="115"/>
      <c r="N322" s="115"/>
      <c r="O322" s="115"/>
    </row>
    <row r="323" spans="1:15" ht="41.25" thickBot="1" x14ac:dyDescent="0.25">
      <c r="A323" s="246"/>
      <c r="B323" s="2" t="s">
        <v>2</v>
      </c>
      <c r="C323" s="3" t="s">
        <v>6</v>
      </c>
      <c r="D323" s="3" t="s">
        <v>7</v>
      </c>
      <c r="E323" s="3" t="s">
        <v>8</v>
      </c>
      <c r="F323" s="4" t="s">
        <v>19</v>
      </c>
      <c r="G323" s="5" t="s">
        <v>2</v>
      </c>
      <c r="H323" s="6" t="s">
        <v>3</v>
      </c>
      <c r="I323" s="6" t="s">
        <v>4</v>
      </c>
      <c r="J323" s="7" t="s">
        <v>18</v>
      </c>
      <c r="K323" s="8" t="s">
        <v>5</v>
      </c>
      <c r="L323" s="115"/>
      <c r="M323" s="115"/>
      <c r="N323" s="115"/>
      <c r="O323" s="115"/>
    </row>
    <row r="324" spans="1:15" ht="18" x14ac:dyDescent="0.2">
      <c r="A324" s="237">
        <v>45640</v>
      </c>
      <c r="B324" s="220" t="s">
        <v>9</v>
      </c>
      <c r="C324" s="9"/>
      <c r="D324" s="9" t="s">
        <v>7</v>
      </c>
      <c r="E324" s="10"/>
      <c r="F324" s="11">
        <v>7</v>
      </c>
      <c r="G324" s="223" t="s">
        <v>9</v>
      </c>
      <c r="H324" s="12"/>
      <c r="I324" s="12" t="s">
        <v>10</v>
      </c>
      <c r="J324" s="11">
        <v>7</v>
      </c>
      <c r="K324" s="13"/>
      <c r="L324" s="115"/>
      <c r="M324" s="115"/>
      <c r="N324" s="115"/>
      <c r="O324" s="115"/>
    </row>
    <row r="325" spans="1:15" ht="18" x14ac:dyDescent="0.2">
      <c r="A325" s="238"/>
      <c r="B325" s="221"/>
      <c r="C325" s="14"/>
      <c r="D325" s="9" t="s">
        <v>7</v>
      </c>
      <c r="E325" s="10"/>
      <c r="F325" s="11">
        <v>7</v>
      </c>
      <c r="G325" s="224"/>
      <c r="H325" s="15"/>
      <c r="I325" s="16" t="s">
        <v>10</v>
      </c>
      <c r="J325" s="11">
        <v>7</v>
      </c>
      <c r="K325" s="17"/>
      <c r="L325" s="115"/>
      <c r="M325" s="115"/>
      <c r="N325" s="115"/>
      <c r="O325" s="115"/>
    </row>
    <row r="326" spans="1:15" ht="18" x14ac:dyDescent="0.2">
      <c r="A326" s="238"/>
      <c r="B326" s="221"/>
      <c r="C326" s="14"/>
      <c r="D326" s="9" t="s">
        <v>7</v>
      </c>
      <c r="E326" s="10"/>
      <c r="F326" s="11">
        <v>7</v>
      </c>
      <c r="G326" s="224"/>
      <c r="H326" s="15"/>
      <c r="I326" s="16" t="s">
        <v>10</v>
      </c>
      <c r="J326" s="11">
        <v>7</v>
      </c>
      <c r="K326" s="17"/>
      <c r="L326" s="115"/>
      <c r="M326" s="115"/>
      <c r="N326" s="115"/>
      <c r="O326" s="115"/>
    </row>
    <row r="327" spans="1:15" ht="18.75" thickBot="1" x14ac:dyDescent="0.25">
      <c r="A327" s="238"/>
      <c r="B327" s="222"/>
      <c r="C327" s="18"/>
      <c r="D327" s="19" t="s">
        <v>7</v>
      </c>
      <c r="E327" s="20"/>
      <c r="F327" s="21">
        <v>7</v>
      </c>
      <c r="G327" s="225"/>
      <c r="H327" s="22"/>
      <c r="I327" s="23" t="s">
        <v>10</v>
      </c>
      <c r="J327" s="21">
        <v>7</v>
      </c>
      <c r="K327" s="24"/>
      <c r="L327" s="115"/>
      <c r="M327" s="115"/>
      <c r="N327" s="115"/>
      <c r="O327" s="115"/>
    </row>
    <row r="328" spans="1:15" ht="18" customHeight="1" x14ac:dyDescent="0.2">
      <c r="A328" s="237">
        <v>45641</v>
      </c>
      <c r="B328" s="226" t="s">
        <v>12</v>
      </c>
      <c r="C328" s="25"/>
      <c r="D328" s="25" t="s">
        <v>7</v>
      </c>
      <c r="E328" s="26"/>
      <c r="F328" s="27">
        <v>7</v>
      </c>
      <c r="G328" s="229" t="s">
        <v>12</v>
      </c>
      <c r="H328" s="28"/>
      <c r="I328" s="28" t="s">
        <v>10</v>
      </c>
      <c r="J328" s="27">
        <v>7</v>
      </c>
      <c r="K328" s="29"/>
      <c r="L328" s="115"/>
      <c r="M328" s="115"/>
      <c r="N328" s="115"/>
      <c r="O328" s="115"/>
    </row>
    <row r="329" spans="1:15" ht="18" customHeight="1" x14ac:dyDescent="0.2">
      <c r="A329" s="238"/>
      <c r="B329" s="227"/>
      <c r="C329" s="30"/>
      <c r="D329" s="31" t="s">
        <v>7</v>
      </c>
      <c r="E329" s="32"/>
      <c r="F329" s="33">
        <v>7</v>
      </c>
      <c r="G329" s="230"/>
      <c r="H329" s="34"/>
      <c r="I329" s="35" t="s">
        <v>10</v>
      </c>
      <c r="J329" s="33">
        <v>7</v>
      </c>
      <c r="K329" s="36"/>
      <c r="L329" s="115"/>
      <c r="M329" s="115"/>
      <c r="N329" s="115"/>
      <c r="O329" s="115"/>
    </row>
    <row r="330" spans="1:15" ht="18" customHeight="1" x14ac:dyDescent="0.2">
      <c r="A330" s="238"/>
      <c r="B330" s="227"/>
      <c r="C330" s="30"/>
      <c r="D330" s="31" t="s">
        <v>7</v>
      </c>
      <c r="E330" s="32"/>
      <c r="F330" s="33">
        <v>7</v>
      </c>
      <c r="G330" s="230"/>
      <c r="H330" s="34"/>
      <c r="I330" s="35" t="s">
        <v>10</v>
      </c>
      <c r="J330" s="33">
        <v>7</v>
      </c>
      <c r="K330" s="36"/>
      <c r="L330" s="115"/>
      <c r="M330" s="115"/>
      <c r="N330" s="115"/>
      <c r="O330" s="115"/>
    </row>
    <row r="331" spans="1:15" ht="18.75" customHeight="1" thickBot="1" x14ac:dyDescent="0.25">
      <c r="A331" s="238"/>
      <c r="B331" s="228"/>
      <c r="C331" s="37"/>
      <c r="D331" s="38" t="s">
        <v>7</v>
      </c>
      <c r="E331" s="39"/>
      <c r="F331" s="40">
        <v>7</v>
      </c>
      <c r="G331" s="231"/>
      <c r="H331" s="41"/>
      <c r="I331" s="42" t="s">
        <v>10</v>
      </c>
      <c r="J331" s="40">
        <v>7</v>
      </c>
      <c r="K331" s="43"/>
      <c r="L331" s="115"/>
      <c r="M331" s="115"/>
      <c r="N331" s="115"/>
      <c r="O331" s="115"/>
    </row>
    <row r="332" spans="1:15" ht="18" customHeight="1" x14ac:dyDescent="0.2">
      <c r="A332" s="237">
        <v>45642</v>
      </c>
      <c r="B332" s="232" t="s">
        <v>13</v>
      </c>
      <c r="C332" s="44"/>
      <c r="D332" s="44" t="s">
        <v>7</v>
      </c>
      <c r="E332" s="45"/>
      <c r="F332" s="46">
        <v>7</v>
      </c>
      <c r="G332" s="185" t="s">
        <v>13</v>
      </c>
      <c r="H332" s="47"/>
      <c r="I332" s="47" t="s">
        <v>10</v>
      </c>
      <c r="J332" s="46">
        <v>7</v>
      </c>
      <c r="K332" s="48"/>
      <c r="L332" s="115"/>
      <c r="M332" s="115"/>
      <c r="N332" s="115"/>
      <c r="O332" s="115"/>
    </row>
    <row r="333" spans="1:15" ht="18" customHeight="1" x14ac:dyDescent="0.2">
      <c r="A333" s="238"/>
      <c r="B333" s="233"/>
      <c r="C333" s="49"/>
      <c r="D333" s="44" t="s">
        <v>7</v>
      </c>
      <c r="E333" s="45"/>
      <c r="F333" s="46">
        <v>7</v>
      </c>
      <c r="G333" s="235"/>
      <c r="H333" s="50"/>
      <c r="I333" s="51" t="s">
        <v>10</v>
      </c>
      <c r="J333" s="46">
        <v>7</v>
      </c>
      <c r="K333" s="52"/>
      <c r="L333" s="115"/>
      <c r="M333" s="115"/>
      <c r="N333" s="115"/>
      <c r="O333" s="115"/>
    </row>
    <row r="334" spans="1:15" ht="18" customHeight="1" x14ac:dyDescent="0.2">
      <c r="A334" s="238"/>
      <c r="B334" s="233"/>
      <c r="C334" s="49"/>
      <c r="D334" s="44" t="s">
        <v>7</v>
      </c>
      <c r="E334" s="45"/>
      <c r="F334" s="46">
        <v>7</v>
      </c>
      <c r="G334" s="235"/>
      <c r="H334" s="50"/>
      <c r="I334" s="51" t="s">
        <v>10</v>
      </c>
      <c r="J334" s="46">
        <v>7</v>
      </c>
      <c r="K334" s="52"/>
      <c r="L334" s="115"/>
      <c r="M334" s="115"/>
      <c r="N334" s="115"/>
      <c r="O334" s="115"/>
    </row>
    <row r="335" spans="1:15" ht="18.75" customHeight="1" thickBot="1" x14ac:dyDescent="0.25">
      <c r="A335" s="238"/>
      <c r="B335" s="234"/>
      <c r="C335" s="53"/>
      <c r="D335" s="54" t="s">
        <v>7</v>
      </c>
      <c r="E335" s="55"/>
      <c r="F335" s="56">
        <v>7</v>
      </c>
      <c r="G335" s="236"/>
      <c r="H335" s="57"/>
      <c r="I335" s="58" t="s">
        <v>10</v>
      </c>
      <c r="J335" s="56">
        <v>7</v>
      </c>
      <c r="K335" s="59"/>
      <c r="L335" s="115"/>
      <c r="M335" s="115"/>
      <c r="N335" s="115"/>
      <c r="O335" s="115"/>
    </row>
    <row r="336" spans="1:15" ht="18" customHeight="1" x14ac:dyDescent="0.2">
      <c r="A336" s="237">
        <v>45643</v>
      </c>
      <c r="B336" s="202" t="s">
        <v>14</v>
      </c>
      <c r="C336" s="60"/>
      <c r="D336" s="60" t="s">
        <v>7</v>
      </c>
      <c r="E336" s="61"/>
      <c r="F336" s="62">
        <v>7</v>
      </c>
      <c r="G336" s="205" t="s">
        <v>14</v>
      </c>
      <c r="H336" s="44"/>
      <c r="I336" s="44" t="s">
        <v>10</v>
      </c>
      <c r="J336" s="62">
        <v>7</v>
      </c>
      <c r="K336" s="45"/>
      <c r="L336" s="115"/>
      <c r="M336" s="115"/>
      <c r="N336" s="115"/>
      <c r="O336" s="115"/>
    </row>
    <row r="337" spans="1:15" ht="18" customHeight="1" x14ac:dyDescent="0.2">
      <c r="A337" s="238"/>
      <c r="B337" s="203"/>
      <c r="C337" s="63"/>
      <c r="D337" s="64" t="s">
        <v>7</v>
      </c>
      <c r="E337" s="65"/>
      <c r="F337" s="66">
        <v>7</v>
      </c>
      <c r="G337" s="206"/>
      <c r="H337" s="49"/>
      <c r="I337" s="44" t="s">
        <v>10</v>
      </c>
      <c r="J337" s="66">
        <v>7</v>
      </c>
      <c r="K337" s="67"/>
      <c r="L337" s="115"/>
      <c r="M337" s="115"/>
      <c r="N337" s="115"/>
      <c r="O337" s="115"/>
    </row>
    <row r="338" spans="1:15" ht="18" customHeight="1" x14ac:dyDescent="0.2">
      <c r="A338" s="238"/>
      <c r="B338" s="203"/>
      <c r="C338" s="63"/>
      <c r="D338" s="64" t="s">
        <v>7</v>
      </c>
      <c r="E338" s="65"/>
      <c r="F338" s="66">
        <v>7</v>
      </c>
      <c r="G338" s="206"/>
      <c r="H338" s="49"/>
      <c r="I338" s="44" t="s">
        <v>10</v>
      </c>
      <c r="J338" s="66">
        <v>7</v>
      </c>
      <c r="K338" s="67"/>
      <c r="L338" s="115"/>
      <c r="M338" s="115"/>
      <c r="N338" s="115"/>
      <c r="O338" s="115"/>
    </row>
    <row r="339" spans="1:15" ht="18.75" customHeight="1" thickBot="1" x14ac:dyDescent="0.25">
      <c r="A339" s="238"/>
      <c r="B339" s="204"/>
      <c r="C339" s="68"/>
      <c r="D339" s="69" t="s">
        <v>7</v>
      </c>
      <c r="E339" s="70"/>
      <c r="F339" s="71">
        <v>7</v>
      </c>
      <c r="G339" s="207"/>
      <c r="H339" s="53"/>
      <c r="I339" s="54" t="s">
        <v>10</v>
      </c>
      <c r="J339" s="71">
        <v>7</v>
      </c>
      <c r="K339" s="72"/>
      <c r="L339" s="115"/>
      <c r="M339" s="115"/>
      <c r="N339" s="115"/>
      <c r="O339" s="115"/>
    </row>
    <row r="340" spans="1:15" ht="18" customHeight="1" x14ac:dyDescent="0.2">
      <c r="A340" s="237">
        <v>45644</v>
      </c>
      <c r="B340" s="208" t="s">
        <v>15</v>
      </c>
      <c r="C340" s="16"/>
      <c r="D340" s="16" t="s">
        <v>7</v>
      </c>
      <c r="E340" s="73"/>
      <c r="F340" s="74">
        <v>7</v>
      </c>
      <c r="G340" s="211" t="s">
        <v>15</v>
      </c>
      <c r="H340" s="75"/>
      <c r="I340" s="75" t="s">
        <v>10</v>
      </c>
      <c r="J340" s="74">
        <v>7</v>
      </c>
      <c r="K340" s="76"/>
      <c r="L340" s="115"/>
      <c r="M340" s="115"/>
      <c r="N340" s="115"/>
      <c r="O340" s="115"/>
    </row>
    <row r="341" spans="1:15" ht="18" customHeight="1" x14ac:dyDescent="0.2">
      <c r="A341" s="238"/>
      <c r="B341" s="209"/>
      <c r="C341" s="15"/>
      <c r="D341" s="16" t="s">
        <v>7</v>
      </c>
      <c r="E341" s="73"/>
      <c r="F341" s="74">
        <v>7</v>
      </c>
      <c r="G341" s="212"/>
      <c r="H341" s="77"/>
      <c r="I341" s="78" t="s">
        <v>10</v>
      </c>
      <c r="J341" s="74">
        <v>7</v>
      </c>
      <c r="K341" s="79"/>
      <c r="L341" s="115"/>
      <c r="M341" s="115"/>
      <c r="N341" s="115"/>
      <c r="O341" s="115"/>
    </row>
    <row r="342" spans="1:15" ht="18" customHeight="1" x14ac:dyDescent="0.2">
      <c r="A342" s="238"/>
      <c r="B342" s="209"/>
      <c r="C342" s="15"/>
      <c r="D342" s="16" t="s">
        <v>7</v>
      </c>
      <c r="E342" s="73"/>
      <c r="F342" s="74">
        <v>7</v>
      </c>
      <c r="G342" s="212"/>
      <c r="H342" s="77"/>
      <c r="I342" s="78" t="s">
        <v>10</v>
      </c>
      <c r="J342" s="74">
        <v>7</v>
      </c>
      <c r="K342" s="79"/>
      <c r="L342" s="115"/>
      <c r="M342" s="115"/>
      <c r="N342" s="115"/>
      <c r="O342" s="115"/>
    </row>
    <row r="343" spans="1:15" ht="18.75" customHeight="1" thickBot="1" x14ac:dyDescent="0.25">
      <c r="A343" s="238"/>
      <c r="B343" s="210"/>
      <c r="C343" s="80"/>
      <c r="D343" s="81" t="s">
        <v>7</v>
      </c>
      <c r="E343" s="82"/>
      <c r="F343" s="83">
        <v>7</v>
      </c>
      <c r="G343" s="213"/>
      <c r="H343" s="84"/>
      <c r="I343" s="85" t="s">
        <v>10</v>
      </c>
      <c r="J343" s="83">
        <v>7</v>
      </c>
      <c r="K343" s="86"/>
      <c r="L343" s="115"/>
      <c r="M343" s="115"/>
      <c r="N343" s="115"/>
      <c r="O343" s="115"/>
    </row>
    <row r="344" spans="1:15" ht="18" customHeight="1" x14ac:dyDescent="0.2">
      <c r="A344" s="237">
        <v>45645</v>
      </c>
      <c r="B344" s="214" t="s">
        <v>16</v>
      </c>
      <c r="C344" s="87"/>
      <c r="D344" s="87" t="s">
        <v>7</v>
      </c>
      <c r="E344" s="88"/>
      <c r="F344" s="89">
        <v>7</v>
      </c>
      <c r="G344" s="217" t="s">
        <v>16</v>
      </c>
      <c r="H344" s="90"/>
      <c r="I344" s="90" t="s">
        <v>10</v>
      </c>
      <c r="J344" s="89">
        <v>0</v>
      </c>
      <c r="K344" s="91"/>
      <c r="L344" s="115"/>
      <c r="M344" s="115"/>
      <c r="N344" s="115"/>
      <c r="O344" s="115"/>
    </row>
    <row r="345" spans="1:15" ht="18" customHeight="1" x14ac:dyDescent="0.2">
      <c r="A345" s="238"/>
      <c r="B345" s="215"/>
      <c r="C345" s="92"/>
      <c r="D345" s="93" t="s">
        <v>7</v>
      </c>
      <c r="E345" s="94"/>
      <c r="F345" s="95">
        <v>7</v>
      </c>
      <c r="G345" s="218"/>
      <c r="H345" s="96"/>
      <c r="I345" s="97" t="s">
        <v>10</v>
      </c>
      <c r="J345" s="95">
        <v>7</v>
      </c>
      <c r="K345" s="98"/>
      <c r="L345" s="115"/>
      <c r="M345" s="115"/>
      <c r="N345" s="115"/>
      <c r="O345" s="115"/>
    </row>
    <row r="346" spans="1:15" ht="18" customHeight="1" x14ac:dyDescent="0.2">
      <c r="A346" s="238"/>
      <c r="B346" s="215"/>
      <c r="C346" s="92"/>
      <c r="D346" s="93" t="s">
        <v>7</v>
      </c>
      <c r="E346" s="94"/>
      <c r="F346" s="95">
        <v>7</v>
      </c>
      <c r="G346" s="218"/>
      <c r="H346" s="96"/>
      <c r="I346" s="97" t="s">
        <v>10</v>
      </c>
      <c r="J346" s="95">
        <v>7</v>
      </c>
      <c r="K346" s="98"/>
      <c r="L346" s="115"/>
      <c r="M346" s="115"/>
      <c r="N346" s="115"/>
      <c r="O346" s="115"/>
    </row>
    <row r="347" spans="1:15" ht="18.75" customHeight="1" thickBot="1" x14ac:dyDescent="0.25">
      <c r="A347" s="238"/>
      <c r="B347" s="216"/>
      <c r="C347" s="99"/>
      <c r="D347" s="100" t="s">
        <v>7</v>
      </c>
      <c r="E347" s="101"/>
      <c r="F347" s="102">
        <v>7</v>
      </c>
      <c r="G347" s="219"/>
      <c r="H347" s="103"/>
      <c r="I347" s="104" t="s">
        <v>10</v>
      </c>
      <c r="J347" s="102">
        <v>7</v>
      </c>
      <c r="K347" s="105"/>
      <c r="L347" s="115"/>
      <c r="M347" s="115"/>
      <c r="N347" s="115"/>
      <c r="O347" s="115"/>
    </row>
    <row r="348" spans="1:15" ht="23.25" x14ac:dyDescent="0.35">
      <c r="A348" s="118"/>
      <c r="B348" s="106"/>
      <c r="C348" s="107"/>
      <c r="D348" s="194" t="s">
        <v>20</v>
      </c>
      <c r="E348" s="195"/>
      <c r="F348" s="108">
        <f>SUM(F324:F347)</f>
        <v>168</v>
      </c>
      <c r="G348" s="107"/>
      <c r="H348" s="185" t="s">
        <v>20</v>
      </c>
      <c r="I348" s="186"/>
      <c r="J348" s="108">
        <f>SUM(J324:J347)</f>
        <v>161</v>
      </c>
      <c r="K348" s="109"/>
      <c r="L348" s="115"/>
      <c r="M348" s="115"/>
      <c r="N348" s="115"/>
      <c r="O348" s="115"/>
    </row>
    <row r="349" spans="1:15" ht="24" thickBot="1" x14ac:dyDescent="0.4">
      <c r="A349" s="119"/>
      <c r="B349" s="110"/>
      <c r="C349" s="111"/>
      <c r="D349" s="187" t="s">
        <v>21</v>
      </c>
      <c r="E349" s="188"/>
      <c r="F349" s="112">
        <f>F348/240*1</f>
        <v>0.7</v>
      </c>
      <c r="G349" s="111"/>
      <c r="H349" s="189" t="s">
        <v>22</v>
      </c>
      <c r="I349" s="190"/>
      <c r="J349" s="113">
        <f>J348/240*1</f>
        <v>0.67083333333333328</v>
      </c>
      <c r="K349" s="114"/>
      <c r="L349" s="115"/>
      <c r="M349" s="115"/>
      <c r="N349" s="115"/>
      <c r="O349" s="115"/>
    </row>
    <row r="350" spans="1:15" ht="24" thickBot="1" x14ac:dyDescent="0.4">
      <c r="A350" s="120">
        <v>13</v>
      </c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</row>
    <row r="351" spans="1:15" ht="21" thickBot="1" x14ac:dyDescent="0.35">
      <c r="A351" s="244" t="s">
        <v>25</v>
      </c>
      <c r="B351" s="191" t="s">
        <v>0</v>
      </c>
      <c r="C351" s="192"/>
      <c r="D351" s="192"/>
      <c r="E351" s="192"/>
      <c r="F351" s="192"/>
      <c r="G351" s="192"/>
      <c r="H351" s="192"/>
      <c r="I351" s="192"/>
      <c r="J351" s="192"/>
      <c r="K351" s="193"/>
      <c r="L351" s="115"/>
      <c r="M351" s="115"/>
      <c r="N351" s="115"/>
      <c r="O351" s="115"/>
    </row>
    <row r="352" spans="1:15" ht="21" thickBot="1" x14ac:dyDescent="0.35">
      <c r="A352" s="245"/>
      <c r="B352" s="196" t="s">
        <v>17</v>
      </c>
      <c r="C352" s="197"/>
      <c r="D352" s="197"/>
      <c r="E352" s="197"/>
      <c r="F352" s="198"/>
      <c r="G352" s="199" t="s">
        <v>1</v>
      </c>
      <c r="H352" s="200"/>
      <c r="I352" s="200"/>
      <c r="J352" s="200"/>
      <c r="K352" s="201"/>
      <c r="L352" s="115"/>
      <c r="M352" s="115"/>
      <c r="N352" s="115"/>
      <c r="O352" s="115"/>
    </row>
    <row r="353" spans="1:15" ht="41.25" thickBot="1" x14ac:dyDescent="0.25">
      <c r="A353" s="246"/>
      <c r="B353" s="2" t="s">
        <v>2</v>
      </c>
      <c r="C353" s="3" t="s">
        <v>6</v>
      </c>
      <c r="D353" s="3" t="s">
        <v>7</v>
      </c>
      <c r="E353" s="3" t="s">
        <v>8</v>
      </c>
      <c r="F353" s="4" t="s">
        <v>19</v>
      </c>
      <c r="G353" s="5" t="s">
        <v>2</v>
      </c>
      <c r="H353" s="6" t="s">
        <v>3</v>
      </c>
      <c r="I353" s="6" t="s">
        <v>4</v>
      </c>
      <c r="J353" s="7" t="s">
        <v>18</v>
      </c>
      <c r="K353" s="8" t="s">
        <v>5</v>
      </c>
      <c r="L353" s="115"/>
      <c r="M353" s="115"/>
      <c r="N353" s="115"/>
      <c r="O353" s="115"/>
    </row>
    <row r="354" spans="1:15" ht="18" x14ac:dyDescent="0.2">
      <c r="A354" s="237">
        <v>45647</v>
      </c>
      <c r="B354" s="220" t="s">
        <v>9</v>
      </c>
      <c r="C354" s="9"/>
      <c r="D354" s="9" t="s">
        <v>7</v>
      </c>
      <c r="E354" s="10"/>
      <c r="F354" s="11">
        <v>7</v>
      </c>
      <c r="G354" s="223" t="s">
        <v>9</v>
      </c>
      <c r="H354" s="12"/>
      <c r="I354" s="12" t="s">
        <v>10</v>
      </c>
      <c r="J354" s="11">
        <v>7</v>
      </c>
      <c r="K354" s="13"/>
      <c r="L354" s="115"/>
      <c r="M354" s="115"/>
      <c r="N354" s="115"/>
      <c r="O354" s="115"/>
    </row>
    <row r="355" spans="1:15" ht="18" x14ac:dyDescent="0.2">
      <c r="A355" s="238"/>
      <c r="B355" s="221"/>
      <c r="C355" s="14"/>
      <c r="D355" s="9" t="s">
        <v>7</v>
      </c>
      <c r="E355" s="10"/>
      <c r="F355" s="11">
        <v>7</v>
      </c>
      <c r="G355" s="224"/>
      <c r="H355" s="15"/>
      <c r="I355" s="16" t="s">
        <v>10</v>
      </c>
      <c r="J355" s="11">
        <v>7</v>
      </c>
      <c r="K355" s="17"/>
      <c r="L355" s="115"/>
      <c r="M355" s="115"/>
      <c r="N355" s="115"/>
      <c r="O355" s="115"/>
    </row>
    <row r="356" spans="1:15" ht="18" x14ac:dyDescent="0.2">
      <c r="A356" s="238"/>
      <c r="B356" s="221"/>
      <c r="C356" s="14"/>
      <c r="D356" s="9" t="s">
        <v>7</v>
      </c>
      <c r="E356" s="10"/>
      <c r="F356" s="11">
        <v>7</v>
      </c>
      <c r="G356" s="224"/>
      <c r="H356" s="15"/>
      <c r="I356" s="16" t="s">
        <v>10</v>
      </c>
      <c r="J356" s="11">
        <v>7</v>
      </c>
      <c r="K356" s="17"/>
      <c r="L356" s="115"/>
      <c r="M356" s="115"/>
      <c r="N356" s="115"/>
      <c r="O356" s="115"/>
    </row>
    <row r="357" spans="1:15" ht="18.75" thickBot="1" x14ac:dyDescent="0.25">
      <c r="A357" s="238"/>
      <c r="B357" s="222"/>
      <c r="C357" s="18"/>
      <c r="D357" s="19" t="s">
        <v>7</v>
      </c>
      <c r="E357" s="20"/>
      <c r="F357" s="21">
        <v>7</v>
      </c>
      <c r="G357" s="225"/>
      <c r="H357" s="22"/>
      <c r="I357" s="23" t="s">
        <v>10</v>
      </c>
      <c r="J357" s="21">
        <v>7</v>
      </c>
      <c r="K357" s="24"/>
      <c r="L357" s="115"/>
      <c r="M357" s="115"/>
      <c r="N357" s="115"/>
      <c r="O357" s="115"/>
    </row>
    <row r="358" spans="1:15" ht="18" customHeight="1" x14ac:dyDescent="0.2">
      <c r="A358" s="237">
        <v>45648</v>
      </c>
      <c r="B358" s="226" t="s">
        <v>12</v>
      </c>
      <c r="C358" s="25"/>
      <c r="D358" s="25" t="s">
        <v>7</v>
      </c>
      <c r="E358" s="26"/>
      <c r="F358" s="27">
        <v>7</v>
      </c>
      <c r="G358" s="229" t="s">
        <v>12</v>
      </c>
      <c r="H358" s="28"/>
      <c r="I358" s="28" t="s">
        <v>10</v>
      </c>
      <c r="J358" s="27">
        <v>7</v>
      </c>
      <c r="K358" s="29"/>
      <c r="L358" s="115"/>
      <c r="M358" s="115"/>
      <c r="N358" s="115"/>
      <c r="O358" s="115"/>
    </row>
    <row r="359" spans="1:15" ht="18" customHeight="1" x14ac:dyDescent="0.2">
      <c r="A359" s="238"/>
      <c r="B359" s="227"/>
      <c r="C359" s="30"/>
      <c r="D359" s="31" t="s">
        <v>7</v>
      </c>
      <c r="E359" s="32"/>
      <c r="F359" s="33">
        <v>7</v>
      </c>
      <c r="G359" s="230"/>
      <c r="H359" s="34"/>
      <c r="I359" s="35" t="s">
        <v>10</v>
      </c>
      <c r="J359" s="33">
        <v>7</v>
      </c>
      <c r="K359" s="36"/>
      <c r="L359" s="115"/>
      <c r="M359" s="115"/>
      <c r="N359" s="115"/>
      <c r="O359" s="115"/>
    </row>
    <row r="360" spans="1:15" ht="18" customHeight="1" x14ac:dyDescent="0.2">
      <c r="A360" s="238"/>
      <c r="B360" s="227"/>
      <c r="C360" s="30"/>
      <c r="D360" s="31" t="s">
        <v>7</v>
      </c>
      <c r="E360" s="32"/>
      <c r="F360" s="33">
        <v>7</v>
      </c>
      <c r="G360" s="230"/>
      <c r="H360" s="34"/>
      <c r="I360" s="35" t="s">
        <v>10</v>
      </c>
      <c r="J360" s="33">
        <v>7</v>
      </c>
      <c r="K360" s="36"/>
      <c r="L360" s="115"/>
      <c r="M360" s="115"/>
      <c r="N360" s="115"/>
      <c r="O360" s="115"/>
    </row>
    <row r="361" spans="1:15" ht="18.75" customHeight="1" thickBot="1" x14ac:dyDescent="0.25">
      <c r="A361" s="238"/>
      <c r="B361" s="228"/>
      <c r="C361" s="37"/>
      <c r="D361" s="38" t="s">
        <v>7</v>
      </c>
      <c r="E361" s="39"/>
      <c r="F361" s="40">
        <v>7</v>
      </c>
      <c r="G361" s="231"/>
      <c r="H361" s="41"/>
      <c r="I361" s="42" t="s">
        <v>10</v>
      </c>
      <c r="J361" s="40">
        <v>7</v>
      </c>
      <c r="K361" s="43"/>
      <c r="L361" s="115"/>
      <c r="M361" s="115"/>
      <c r="N361" s="115"/>
      <c r="O361" s="115"/>
    </row>
    <row r="362" spans="1:15" ht="18" customHeight="1" x14ac:dyDescent="0.2">
      <c r="A362" s="237">
        <v>45649</v>
      </c>
      <c r="B362" s="232" t="s">
        <v>13</v>
      </c>
      <c r="C362" s="44"/>
      <c r="D362" s="44" t="s">
        <v>7</v>
      </c>
      <c r="E362" s="45"/>
      <c r="F362" s="46">
        <v>7</v>
      </c>
      <c r="G362" s="185" t="s">
        <v>13</v>
      </c>
      <c r="H362" s="47"/>
      <c r="I362" s="47" t="s">
        <v>10</v>
      </c>
      <c r="J362" s="46">
        <v>7</v>
      </c>
      <c r="K362" s="48"/>
      <c r="L362" s="115"/>
      <c r="M362" s="115"/>
      <c r="N362" s="115"/>
      <c r="O362" s="115"/>
    </row>
    <row r="363" spans="1:15" ht="18" customHeight="1" x14ac:dyDescent="0.2">
      <c r="A363" s="238"/>
      <c r="B363" s="233"/>
      <c r="C363" s="49"/>
      <c r="D363" s="44" t="s">
        <v>7</v>
      </c>
      <c r="E363" s="45"/>
      <c r="F363" s="46">
        <v>7</v>
      </c>
      <c r="G363" s="235"/>
      <c r="H363" s="50"/>
      <c r="I363" s="51" t="s">
        <v>10</v>
      </c>
      <c r="J363" s="46">
        <v>7</v>
      </c>
      <c r="K363" s="52"/>
      <c r="L363" s="115"/>
      <c r="M363" s="115"/>
      <c r="N363" s="115"/>
      <c r="O363" s="115"/>
    </row>
    <row r="364" spans="1:15" ht="18" customHeight="1" x14ac:dyDescent="0.2">
      <c r="A364" s="238"/>
      <c r="B364" s="233"/>
      <c r="C364" s="49"/>
      <c r="D364" s="44" t="s">
        <v>7</v>
      </c>
      <c r="E364" s="45"/>
      <c r="F364" s="46">
        <v>7</v>
      </c>
      <c r="G364" s="235"/>
      <c r="H364" s="50"/>
      <c r="I364" s="51" t="s">
        <v>10</v>
      </c>
      <c r="J364" s="46">
        <v>7</v>
      </c>
      <c r="K364" s="52"/>
      <c r="L364" s="115"/>
      <c r="M364" s="115"/>
      <c r="N364" s="115"/>
      <c r="O364" s="115"/>
    </row>
    <row r="365" spans="1:15" ht="18.75" customHeight="1" thickBot="1" x14ac:dyDescent="0.25">
      <c r="A365" s="238"/>
      <c r="B365" s="234"/>
      <c r="C365" s="53"/>
      <c r="D365" s="54" t="s">
        <v>7</v>
      </c>
      <c r="E365" s="55"/>
      <c r="F365" s="56">
        <v>7</v>
      </c>
      <c r="G365" s="236"/>
      <c r="H365" s="57"/>
      <c r="I365" s="58" t="s">
        <v>10</v>
      </c>
      <c r="J365" s="56">
        <v>7</v>
      </c>
      <c r="K365" s="59"/>
      <c r="L365" s="115"/>
      <c r="M365" s="115"/>
      <c r="N365" s="115"/>
      <c r="O365" s="115"/>
    </row>
    <row r="366" spans="1:15" ht="18" customHeight="1" x14ac:dyDescent="0.2">
      <c r="A366" s="237">
        <v>45650</v>
      </c>
      <c r="B366" s="202" t="s">
        <v>14</v>
      </c>
      <c r="C366" s="60"/>
      <c r="D366" s="60" t="s">
        <v>7</v>
      </c>
      <c r="E366" s="61"/>
      <c r="F366" s="62">
        <v>7</v>
      </c>
      <c r="G366" s="205" t="s">
        <v>14</v>
      </c>
      <c r="H366" s="44"/>
      <c r="I366" s="44" t="s">
        <v>10</v>
      </c>
      <c r="J366" s="62">
        <v>7</v>
      </c>
      <c r="K366" s="45"/>
      <c r="L366" s="115"/>
      <c r="M366" s="115"/>
      <c r="N366" s="115"/>
      <c r="O366" s="115"/>
    </row>
    <row r="367" spans="1:15" ht="18" customHeight="1" x14ac:dyDescent="0.2">
      <c r="A367" s="238"/>
      <c r="B367" s="203"/>
      <c r="C367" s="63"/>
      <c r="D367" s="64" t="s">
        <v>7</v>
      </c>
      <c r="E367" s="65"/>
      <c r="F367" s="66">
        <v>7</v>
      </c>
      <c r="G367" s="206"/>
      <c r="H367" s="49"/>
      <c r="I367" s="44" t="s">
        <v>10</v>
      </c>
      <c r="J367" s="66">
        <v>7</v>
      </c>
      <c r="K367" s="67"/>
      <c r="L367" s="115"/>
      <c r="M367" s="115"/>
      <c r="N367" s="115"/>
      <c r="O367" s="115"/>
    </row>
    <row r="368" spans="1:15" ht="18" customHeight="1" x14ac:dyDescent="0.2">
      <c r="A368" s="238"/>
      <c r="B368" s="203"/>
      <c r="C368" s="63"/>
      <c r="D368" s="64" t="s">
        <v>7</v>
      </c>
      <c r="E368" s="65"/>
      <c r="F368" s="66">
        <v>7</v>
      </c>
      <c r="G368" s="206"/>
      <c r="H368" s="49"/>
      <c r="I368" s="44" t="s">
        <v>10</v>
      </c>
      <c r="J368" s="66">
        <v>7</v>
      </c>
      <c r="K368" s="67"/>
      <c r="L368" s="115"/>
      <c r="M368" s="115"/>
      <c r="N368" s="115"/>
      <c r="O368" s="115"/>
    </row>
    <row r="369" spans="1:15" ht="18.75" customHeight="1" thickBot="1" x14ac:dyDescent="0.25">
      <c r="A369" s="238"/>
      <c r="B369" s="204"/>
      <c r="C369" s="68"/>
      <c r="D369" s="69" t="s">
        <v>7</v>
      </c>
      <c r="E369" s="70"/>
      <c r="F369" s="71">
        <v>7</v>
      </c>
      <c r="G369" s="207"/>
      <c r="H369" s="53"/>
      <c r="I369" s="54" t="s">
        <v>10</v>
      </c>
      <c r="J369" s="71">
        <v>7</v>
      </c>
      <c r="K369" s="72"/>
      <c r="L369" s="115"/>
      <c r="M369" s="115"/>
      <c r="N369" s="115"/>
      <c r="O369" s="115"/>
    </row>
    <row r="370" spans="1:15" ht="18" customHeight="1" x14ac:dyDescent="0.2">
      <c r="A370" s="237">
        <v>45651</v>
      </c>
      <c r="B370" s="208" t="s">
        <v>15</v>
      </c>
      <c r="C370" s="16"/>
      <c r="D370" s="16" t="s">
        <v>7</v>
      </c>
      <c r="E370" s="73"/>
      <c r="F370" s="74">
        <v>7</v>
      </c>
      <c r="G370" s="211" t="s">
        <v>15</v>
      </c>
      <c r="H370" s="75"/>
      <c r="I370" s="75" t="s">
        <v>10</v>
      </c>
      <c r="J370" s="74">
        <v>7</v>
      </c>
      <c r="K370" s="76"/>
      <c r="L370" s="115"/>
      <c r="M370" s="115"/>
      <c r="N370" s="115"/>
      <c r="O370" s="115"/>
    </row>
    <row r="371" spans="1:15" ht="18" customHeight="1" x14ac:dyDescent="0.2">
      <c r="A371" s="238"/>
      <c r="B371" s="209"/>
      <c r="C371" s="15"/>
      <c r="D371" s="16" t="s">
        <v>7</v>
      </c>
      <c r="E371" s="73"/>
      <c r="F371" s="74">
        <v>7</v>
      </c>
      <c r="G371" s="212"/>
      <c r="H371" s="77"/>
      <c r="I371" s="78" t="s">
        <v>10</v>
      </c>
      <c r="J371" s="74">
        <v>7</v>
      </c>
      <c r="K371" s="79"/>
      <c r="L371" s="115"/>
      <c r="M371" s="115"/>
      <c r="N371" s="115"/>
      <c r="O371" s="115"/>
    </row>
    <row r="372" spans="1:15" ht="18" customHeight="1" x14ac:dyDescent="0.2">
      <c r="A372" s="238"/>
      <c r="B372" s="209"/>
      <c r="C372" s="15"/>
      <c r="D372" s="16" t="s">
        <v>7</v>
      </c>
      <c r="E372" s="73"/>
      <c r="F372" s="74">
        <v>7</v>
      </c>
      <c r="G372" s="212"/>
      <c r="H372" s="77"/>
      <c r="I372" s="78" t="s">
        <v>10</v>
      </c>
      <c r="J372" s="74">
        <v>7</v>
      </c>
      <c r="K372" s="79"/>
      <c r="L372" s="115"/>
      <c r="M372" s="115"/>
      <c r="N372" s="115"/>
      <c r="O372" s="115"/>
    </row>
    <row r="373" spans="1:15" ht="18.75" customHeight="1" thickBot="1" x14ac:dyDescent="0.25">
      <c r="A373" s="238"/>
      <c r="B373" s="210"/>
      <c r="C373" s="80"/>
      <c r="D373" s="81" t="s">
        <v>7</v>
      </c>
      <c r="E373" s="82"/>
      <c r="F373" s="83">
        <v>7</v>
      </c>
      <c r="G373" s="213"/>
      <c r="H373" s="84"/>
      <c r="I373" s="85" t="s">
        <v>10</v>
      </c>
      <c r="J373" s="83">
        <v>7</v>
      </c>
      <c r="K373" s="86"/>
      <c r="L373" s="115"/>
      <c r="M373" s="115"/>
      <c r="N373" s="115"/>
      <c r="O373" s="115"/>
    </row>
    <row r="374" spans="1:15" ht="18" customHeight="1" x14ac:dyDescent="0.2">
      <c r="A374" s="237">
        <v>45652</v>
      </c>
      <c r="B374" s="214" t="s">
        <v>16</v>
      </c>
      <c r="C374" s="87"/>
      <c r="D374" s="87" t="s">
        <v>7</v>
      </c>
      <c r="E374" s="88"/>
      <c r="F374" s="89">
        <v>7</v>
      </c>
      <c r="G374" s="217" t="s">
        <v>16</v>
      </c>
      <c r="H374" s="90"/>
      <c r="I374" s="90" t="s">
        <v>10</v>
      </c>
      <c r="J374" s="89">
        <v>0</v>
      </c>
      <c r="K374" s="91"/>
      <c r="L374" s="115"/>
      <c r="M374" s="115"/>
      <c r="N374" s="115"/>
      <c r="O374" s="115"/>
    </row>
    <row r="375" spans="1:15" ht="18" customHeight="1" x14ac:dyDescent="0.2">
      <c r="A375" s="238"/>
      <c r="B375" s="215"/>
      <c r="C375" s="92"/>
      <c r="D375" s="93" t="s">
        <v>7</v>
      </c>
      <c r="E375" s="94"/>
      <c r="F375" s="95">
        <v>7</v>
      </c>
      <c r="G375" s="218"/>
      <c r="H375" s="96"/>
      <c r="I375" s="97" t="s">
        <v>10</v>
      </c>
      <c r="J375" s="95">
        <v>7</v>
      </c>
      <c r="K375" s="98"/>
      <c r="L375" s="115"/>
      <c r="M375" s="115"/>
      <c r="N375" s="115"/>
      <c r="O375" s="115"/>
    </row>
    <row r="376" spans="1:15" ht="18" customHeight="1" x14ac:dyDescent="0.2">
      <c r="A376" s="238"/>
      <c r="B376" s="215"/>
      <c r="C376" s="92"/>
      <c r="D376" s="93" t="s">
        <v>7</v>
      </c>
      <c r="E376" s="94"/>
      <c r="F376" s="95">
        <v>7</v>
      </c>
      <c r="G376" s="218"/>
      <c r="H376" s="96"/>
      <c r="I376" s="97" t="s">
        <v>10</v>
      </c>
      <c r="J376" s="95">
        <v>7</v>
      </c>
      <c r="K376" s="98"/>
      <c r="L376" s="115"/>
      <c r="M376" s="115"/>
      <c r="N376" s="115"/>
      <c r="O376" s="115"/>
    </row>
    <row r="377" spans="1:15" ht="18.75" customHeight="1" thickBot="1" x14ac:dyDescent="0.25">
      <c r="A377" s="238"/>
      <c r="B377" s="216"/>
      <c r="C377" s="99"/>
      <c r="D377" s="100" t="s">
        <v>7</v>
      </c>
      <c r="E377" s="101"/>
      <c r="F377" s="102">
        <v>7</v>
      </c>
      <c r="G377" s="219"/>
      <c r="H377" s="103"/>
      <c r="I377" s="104" t="s">
        <v>10</v>
      </c>
      <c r="J377" s="102">
        <v>7</v>
      </c>
      <c r="K377" s="105"/>
      <c r="L377" s="115"/>
      <c r="M377" s="115"/>
      <c r="N377" s="115"/>
      <c r="O377" s="115"/>
    </row>
    <row r="378" spans="1:15" ht="23.25" x14ac:dyDescent="0.35">
      <c r="A378" s="118"/>
      <c r="B378" s="106"/>
      <c r="C378" s="107"/>
      <c r="D378" s="194" t="s">
        <v>20</v>
      </c>
      <c r="E378" s="195"/>
      <c r="F378" s="108">
        <f>SUM(F354:F377)</f>
        <v>168</v>
      </c>
      <c r="G378" s="107"/>
      <c r="H378" s="185" t="s">
        <v>20</v>
      </c>
      <c r="I378" s="186"/>
      <c r="J378" s="108">
        <f>SUM(J354:J377)</f>
        <v>161</v>
      </c>
      <c r="K378" s="109"/>
      <c r="L378" s="115"/>
      <c r="M378" s="115"/>
      <c r="N378" s="115"/>
      <c r="O378" s="115"/>
    </row>
    <row r="379" spans="1:15" ht="24" thickBot="1" x14ac:dyDescent="0.4">
      <c r="A379" s="119"/>
      <c r="B379" s="110"/>
      <c r="C379" s="111"/>
      <c r="D379" s="187" t="s">
        <v>21</v>
      </c>
      <c r="E379" s="188"/>
      <c r="F379" s="112">
        <f>F378/240*1</f>
        <v>0.7</v>
      </c>
      <c r="G379" s="111"/>
      <c r="H379" s="189" t="s">
        <v>22</v>
      </c>
      <c r="I379" s="190"/>
      <c r="J379" s="113">
        <f>J378/240*1</f>
        <v>0.67083333333333328</v>
      </c>
      <c r="K379" s="114"/>
      <c r="L379" s="115"/>
      <c r="M379" s="115"/>
      <c r="N379" s="115"/>
      <c r="O379" s="115"/>
    </row>
    <row r="380" spans="1:15" ht="24" thickBot="1" x14ac:dyDescent="0.4">
      <c r="A380" s="120">
        <v>14</v>
      </c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</row>
    <row r="381" spans="1:15" ht="21" thickBot="1" x14ac:dyDescent="0.35">
      <c r="A381" s="244" t="s">
        <v>25</v>
      </c>
      <c r="B381" s="191" t="s">
        <v>0</v>
      </c>
      <c r="C381" s="192"/>
      <c r="D381" s="192"/>
      <c r="E381" s="192"/>
      <c r="F381" s="192"/>
      <c r="G381" s="192"/>
      <c r="H381" s="192"/>
      <c r="I381" s="192"/>
      <c r="J381" s="192"/>
      <c r="K381" s="193"/>
      <c r="L381" s="115"/>
      <c r="M381" s="115"/>
      <c r="N381" s="115"/>
      <c r="O381" s="115"/>
    </row>
    <row r="382" spans="1:15" ht="21" thickBot="1" x14ac:dyDescent="0.35">
      <c r="A382" s="245"/>
      <c r="B382" s="196" t="s">
        <v>17</v>
      </c>
      <c r="C382" s="197"/>
      <c r="D382" s="197"/>
      <c r="E382" s="197"/>
      <c r="F382" s="198"/>
      <c r="G382" s="199" t="s">
        <v>1</v>
      </c>
      <c r="H382" s="200"/>
      <c r="I382" s="200"/>
      <c r="J382" s="200"/>
      <c r="K382" s="201"/>
      <c r="L382" s="115"/>
      <c r="M382" s="115"/>
      <c r="N382" s="115"/>
      <c r="O382" s="115"/>
    </row>
    <row r="383" spans="1:15" ht="41.25" thickBot="1" x14ac:dyDescent="0.25">
      <c r="A383" s="246"/>
      <c r="B383" s="2" t="s">
        <v>2</v>
      </c>
      <c r="C383" s="3" t="s">
        <v>6</v>
      </c>
      <c r="D383" s="3" t="s">
        <v>7</v>
      </c>
      <c r="E383" s="3" t="s">
        <v>8</v>
      </c>
      <c r="F383" s="4" t="s">
        <v>19</v>
      </c>
      <c r="G383" s="5" t="s">
        <v>2</v>
      </c>
      <c r="H383" s="6" t="s">
        <v>3</v>
      </c>
      <c r="I383" s="6" t="s">
        <v>4</v>
      </c>
      <c r="J383" s="7" t="s">
        <v>18</v>
      </c>
      <c r="K383" s="8" t="s">
        <v>5</v>
      </c>
      <c r="L383" s="115"/>
      <c r="M383" s="115"/>
      <c r="N383" s="115"/>
      <c r="O383" s="115"/>
    </row>
    <row r="384" spans="1:15" ht="18" x14ac:dyDescent="0.2">
      <c r="A384" s="237">
        <v>45654</v>
      </c>
      <c r="B384" s="220" t="s">
        <v>9</v>
      </c>
      <c r="C384" s="9"/>
      <c r="D384" s="9" t="s">
        <v>7</v>
      </c>
      <c r="E384" s="10"/>
      <c r="F384" s="11">
        <v>7</v>
      </c>
      <c r="G384" s="223" t="s">
        <v>9</v>
      </c>
      <c r="H384" s="12"/>
      <c r="I384" s="12" t="s">
        <v>10</v>
      </c>
      <c r="J384" s="11">
        <v>7</v>
      </c>
      <c r="K384" s="13"/>
      <c r="L384" s="115"/>
      <c r="M384" s="115"/>
      <c r="N384" s="115"/>
      <c r="O384" s="115"/>
    </row>
    <row r="385" spans="1:15" ht="18" x14ac:dyDescent="0.2">
      <c r="A385" s="238"/>
      <c r="B385" s="221"/>
      <c r="C385" s="14"/>
      <c r="D385" s="9" t="s">
        <v>7</v>
      </c>
      <c r="E385" s="10"/>
      <c r="F385" s="11">
        <v>7</v>
      </c>
      <c r="G385" s="224"/>
      <c r="H385" s="15"/>
      <c r="I385" s="16" t="s">
        <v>10</v>
      </c>
      <c r="J385" s="11">
        <v>7</v>
      </c>
      <c r="K385" s="17"/>
      <c r="L385" s="115"/>
      <c r="M385" s="115"/>
      <c r="N385" s="115"/>
      <c r="O385" s="115"/>
    </row>
    <row r="386" spans="1:15" ht="18" x14ac:dyDescent="0.2">
      <c r="A386" s="238"/>
      <c r="B386" s="221"/>
      <c r="C386" s="14"/>
      <c r="D386" s="9" t="s">
        <v>7</v>
      </c>
      <c r="E386" s="10"/>
      <c r="F386" s="11">
        <v>7</v>
      </c>
      <c r="G386" s="224"/>
      <c r="H386" s="15"/>
      <c r="I386" s="16" t="s">
        <v>10</v>
      </c>
      <c r="J386" s="11">
        <v>7</v>
      </c>
      <c r="K386" s="17"/>
      <c r="L386" s="115"/>
      <c r="M386" s="115"/>
      <c r="N386" s="115"/>
      <c r="O386" s="115"/>
    </row>
    <row r="387" spans="1:15" ht="18.75" thickBot="1" x14ac:dyDescent="0.25">
      <c r="A387" s="238"/>
      <c r="B387" s="222"/>
      <c r="C387" s="18"/>
      <c r="D387" s="19" t="s">
        <v>7</v>
      </c>
      <c r="E387" s="20"/>
      <c r="F387" s="21">
        <v>7</v>
      </c>
      <c r="G387" s="225"/>
      <c r="H387" s="22"/>
      <c r="I387" s="23" t="s">
        <v>10</v>
      </c>
      <c r="J387" s="21">
        <v>7</v>
      </c>
      <c r="K387" s="24"/>
      <c r="L387" s="115"/>
      <c r="M387" s="115"/>
      <c r="N387" s="115"/>
      <c r="O387" s="115"/>
    </row>
    <row r="388" spans="1:15" ht="18" customHeight="1" x14ac:dyDescent="0.2">
      <c r="A388" s="237">
        <v>45655</v>
      </c>
      <c r="B388" s="226" t="s">
        <v>12</v>
      </c>
      <c r="C388" s="25"/>
      <c r="D388" s="25" t="s">
        <v>7</v>
      </c>
      <c r="E388" s="26"/>
      <c r="F388" s="27">
        <v>7</v>
      </c>
      <c r="G388" s="229" t="s">
        <v>12</v>
      </c>
      <c r="H388" s="28"/>
      <c r="I388" s="28" t="s">
        <v>10</v>
      </c>
      <c r="J388" s="27">
        <v>7</v>
      </c>
      <c r="K388" s="29"/>
      <c r="L388" s="115"/>
      <c r="M388" s="115"/>
      <c r="N388" s="115"/>
      <c r="O388" s="115"/>
    </row>
    <row r="389" spans="1:15" ht="18" customHeight="1" x14ac:dyDescent="0.2">
      <c r="A389" s="238"/>
      <c r="B389" s="227"/>
      <c r="C389" s="30"/>
      <c r="D389" s="31" t="s">
        <v>7</v>
      </c>
      <c r="E389" s="32"/>
      <c r="F389" s="33">
        <v>7</v>
      </c>
      <c r="G389" s="230"/>
      <c r="H389" s="34"/>
      <c r="I389" s="35" t="s">
        <v>10</v>
      </c>
      <c r="J389" s="33">
        <v>7</v>
      </c>
      <c r="K389" s="36"/>
      <c r="L389" s="115"/>
      <c r="M389" s="115"/>
      <c r="N389" s="115"/>
      <c r="O389" s="115"/>
    </row>
    <row r="390" spans="1:15" ht="18" customHeight="1" x14ac:dyDescent="0.2">
      <c r="A390" s="238"/>
      <c r="B390" s="227"/>
      <c r="C390" s="30"/>
      <c r="D390" s="31" t="s">
        <v>7</v>
      </c>
      <c r="E390" s="32"/>
      <c r="F390" s="33">
        <v>7</v>
      </c>
      <c r="G390" s="230"/>
      <c r="H390" s="34"/>
      <c r="I390" s="35" t="s">
        <v>10</v>
      </c>
      <c r="J390" s="33">
        <v>7</v>
      </c>
      <c r="K390" s="36"/>
      <c r="L390" s="115"/>
      <c r="M390" s="115"/>
      <c r="N390" s="115"/>
      <c r="O390" s="115"/>
    </row>
    <row r="391" spans="1:15" ht="18.75" customHeight="1" thickBot="1" x14ac:dyDescent="0.25">
      <c r="A391" s="238"/>
      <c r="B391" s="228"/>
      <c r="C391" s="37"/>
      <c r="D391" s="38" t="s">
        <v>7</v>
      </c>
      <c r="E391" s="39"/>
      <c r="F391" s="40">
        <v>7</v>
      </c>
      <c r="G391" s="231"/>
      <c r="H391" s="41"/>
      <c r="I391" s="42" t="s">
        <v>10</v>
      </c>
      <c r="J391" s="40">
        <v>7</v>
      </c>
      <c r="K391" s="43"/>
      <c r="L391" s="115"/>
      <c r="M391" s="115"/>
      <c r="N391" s="115"/>
      <c r="O391" s="115"/>
    </row>
    <row r="392" spans="1:15" ht="18" customHeight="1" x14ac:dyDescent="0.2">
      <c r="A392" s="237">
        <v>45656</v>
      </c>
      <c r="B392" s="232" t="s">
        <v>13</v>
      </c>
      <c r="C392" s="44"/>
      <c r="D392" s="44" t="s">
        <v>7</v>
      </c>
      <c r="E392" s="45"/>
      <c r="F392" s="46">
        <v>7</v>
      </c>
      <c r="G392" s="185" t="s">
        <v>13</v>
      </c>
      <c r="H392" s="47"/>
      <c r="I392" s="47" t="s">
        <v>10</v>
      </c>
      <c r="J392" s="46">
        <v>7</v>
      </c>
      <c r="K392" s="48"/>
      <c r="L392" s="115"/>
      <c r="M392" s="115"/>
      <c r="N392" s="115"/>
      <c r="O392" s="115"/>
    </row>
    <row r="393" spans="1:15" ht="18" customHeight="1" x14ac:dyDescent="0.2">
      <c r="A393" s="238"/>
      <c r="B393" s="233"/>
      <c r="C393" s="49"/>
      <c r="D393" s="44" t="s">
        <v>7</v>
      </c>
      <c r="E393" s="45"/>
      <c r="F393" s="46">
        <v>7</v>
      </c>
      <c r="G393" s="235"/>
      <c r="H393" s="50"/>
      <c r="I393" s="51" t="s">
        <v>10</v>
      </c>
      <c r="J393" s="46">
        <v>7</v>
      </c>
      <c r="K393" s="52"/>
      <c r="L393" s="115"/>
      <c r="M393" s="115"/>
      <c r="N393" s="115"/>
      <c r="O393" s="115"/>
    </row>
    <row r="394" spans="1:15" ht="18" customHeight="1" x14ac:dyDescent="0.2">
      <c r="A394" s="238"/>
      <c r="B394" s="233"/>
      <c r="C394" s="49"/>
      <c r="D394" s="44" t="s">
        <v>7</v>
      </c>
      <c r="E394" s="45"/>
      <c r="F394" s="46">
        <v>7</v>
      </c>
      <c r="G394" s="235"/>
      <c r="H394" s="50"/>
      <c r="I394" s="51" t="s">
        <v>10</v>
      </c>
      <c r="J394" s="46">
        <v>7</v>
      </c>
      <c r="K394" s="52"/>
      <c r="L394" s="115"/>
      <c r="M394" s="115"/>
      <c r="N394" s="115"/>
      <c r="O394" s="115"/>
    </row>
    <row r="395" spans="1:15" ht="18.75" customHeight="1" thickBot="1" x14ac:dyDescent="0.25">
      <c r="A395" s="238"/>
      <c r="B395" s="234"/>
      <c r="C395" s="53"/>
      <c r="D395" s="54" t="s">
        <v>7</v>
      </c>
      <c r="E395" s="55"/>
      <c r="F395" s="56">
        <v>7</v>
      </c>
      <c r="G395" s="236"/>
      <c r="H395" s="57"/>
      <c r="I395" s="58" t="s">
        <v>10</v>
      </c>
      <c r="J395" s="56">
        <v>7</v>
      </c>
      <c r="K395" s="59"/>
      <c r="L395" s="115"/>
      <c r="M395" s="115"/>
      <c r="N395" s="115"/>
      <c r="O395" s="115"/>
    </row>
    <row r="396" spans="1:15" ht="18" customHeight="1" x14ac:dyDescent="0.2">
      <c r="A396" s="237">
        <v>45657</v>
      </c>
      <c r="B396" s="202" t="s">
        <v>14</v>
      </c>
      <c r="C396" s="60"/>
      <c r="D396" s="60" t="s">
        <v>7</v>
      </c>
      <c r="E396" s="61"/>
      <c r="F396" s="62">
        <v>7</v>
      </c>
      <c r="G396" s="205" t="s">
        <v>14</v>
      </c>
      <c r="H396" s="44"/>
      <c r="I396" s="44" t="s">
        <v>10</v>
      </c>
      <c r="J396" s="62">
        <v>7</v>
      </c>
      <c r="K396" s="45"/>
      <c r="L396" s="115"/>
      <c r="M396" s="115"/>
      <c r="N396" s="115"/>
      <c r="O396" s="115"/>
    </row>
    <row r="397" spans="1:15" ht="18" customHeight="1" x14ac:dyDescent="0.2">
      <c r="A397" s="238"/>
      <c r="B397" s="203"/>
      <c r="C397" s="63"/>
      <c r="D397" s="64" t="s">
        <v>7</v>
      </c>
      <c r="E397" s="65"/>
      <c r="F397" s="66">
        <v>7</v>
      </c>
      <c r="G397" s="206"/>
      <c r="H397" s="49"/>
      <c r="I397" s="44" t="s">
        <v>10</v>
      </c>
      <c r="J397" s="66">
        <v>7</v>
      </c>
      <c r="K397" s="67"/>
      <c r="L397" s="115"/>
      <c r="M397" s="115"/>
      <c r="N397" s="115"/>
      <c r="O397" s="115"/>
    </row>
    <row r="398" spans="1:15" ht="18" customHeight="1" x14ac:dyDescent="0.2">
      <c r="A398" s="238"/>
      <c r="B398" s="203"/>
      <c r="C398" s="63"/>
      <c r="D398" s="64" t="s">
        <v>7</v>
      </c>
      <c r="E398" s="65"/>
      <c r="F398" s="66">
        <v>7</v>
      </c>
      <c r="G398" s="206"/>
      <c r="H398" s="49"/>
      <c r="I398" s="44" t="s">
        <v>10</v>
      </c>
      <c r="J398" s="66">
        <v>7</v>
      </c>
      <c r="K398" s="67"/>
      <c r="L398" s="115"/>
      <c r="M398" s="115"/>
      <c r="N398" s="115"/>
      <c r="O398" s="115"/>
    </row>
    <row r="399" spans="1:15" ht="18.75" customHeight="1" thickBot="1" x14ac:dyDescent="0.25">
      <c r="A399" s="238"/>
      <c r="B399" s="204"/>
      <c r="C399" s="68"/>
      <c r="D399" s="69" t="s">
        <v>7</v>
      </c>
      <c r="E399" s="70"/>
      <c r="F399" s="71">
        <v>7</v>
      </c>
      <c r="G399" s="207"/>
      <c r="H399" s="53"/>
      <c r="I399" s="54" t="s">
        <v>10</v>
      </c>
      <c r="J399" s="71">
        <v>7</v>
      </c>
      <c r="K399" s="72"/>
      <c r="L399" s="115"/>
      <c r="M399" s="115"/>
      <c r="N399" s="115"/>
      <c r="O399" s="115"/>
    </row>
    <row r="400" spans="1:15" ht="23.25" x14ac:dyDescent="0.35">
      <c r="A400" s="118"/>
      <c r="B400" s="106"/>
      <c r="C400" s="107"/>
      <c r="D400" s="194" t="s">
        <v>36</v>
      </c>
      <c r="E400" s="195"/>
      <c r="F400" s="108">
        <f>SUM(F384:F399)</f>
        <v>112</v>
      </c>
      <c r="G400" s="107"/>
      <c r="H400" s="185" t="s">
        <v>36</v>
      </c>
      <c r="I400" s="186"/>
      <c r="J400" s="108">
        <f>SUM(J384:J399)</f>
        <v>112</v>
      </c>
      <c r="K400" s="109"/>
      <c r="L400" s="115"/>
      <c r="M400" s="115"/>
      <c r="N400" s="115"/>
      <c r="O400" s="115"/>
    </row>
    <row r="401" spans="1:15" ht="24" thickBot="1" x14ac:dyDescent="0.4">
      <c r="A401" s="119"/>
      <c r="B401" s="110"/>
      <c r="C401" s="111"/>
      <c r="D401" s="187" t="s">
        <v>21</v>
      </c>
      <c r="E401" s="188"/>
      <c r="F401" s="112">
        <f>F400/160*1</f>
        <v>0.7</v>
      </c>
      <c r="G401" s="111"/>
      <c r="H401" s="189" t="s">
        <v>22</v>
      </c>
      <c r="I401" s="190"/>
      <c r="J401" s="113">
        <f>J400/160*1</f>
        <v>0.7</v>
      </c>
      <c r="K401" s="114"/>
      <c r="L401" s="115"/>
      <c r="M401" s="115"/>
      <c r="N401" s="115"/>
      <c r="O401" s="115"/>
    </row>
  </sheetData>
  <mergeCells count="351">
    <mergeCell ref="A10:A13"/>
    <mergeCell ref="B10:B13"/>
    <mergeCell ref="G10:G13"/>
    <mergeCell ref="A14:A17"/>
    <mergeCell ref="B14:B17"/>
    <mergeCell ref="G14:G17"/>
    <mergeCell ref="D2:E2"/>
    <mergeCell ref="H2:I2"/>
    <mergeCell ref="A3:A5"/>
    <mergeCell ref="B3:K3"/>
    <mergeCell ref="B4:F4"/>
    <mergeCell ref="G4:K4"/>
    <mergeCell ref="A6:A9"/>
    <mergeCell ref="B6:B9"/>
    <mergeCell ref="G6:G9"/>
    <mergeCell ref="A24:A27"/>
    <mergeCell ref="B24:B27"/>
    <mergeCell ref="G24:G27"/>
    <mergeCell ref="A28:A31"/>
    <mergeCell ref="B28:B31"/>
    <mergeCell ref="G28:G31"/>
    <mergeCell ref="D18:E18"/>
    <mergeCell ref="H18:I18"/>
    <mergeCell ref="D19:E19"/>
    <mergeCell ref="H19:I19"/>
    <mergeCell ref="A21:A23"/>
    <mergeCell ref="B21:K21"/>
    <mergeCell ref="B22:F22"/>
    <mergeCell ref="G22:K22"/>
    <mergeCell ref="A40:A43"/>
    <mergeCell ref="B40:B43"/>
    <mergeCell ref="G40:G43"/>
    <mergeCell ref="A44:A47"/>
    <mergeCell ref="B44:B47"/>
    <mergeCell ref="G44:G47"/>
    <mergeCell ref="A32:A35"/>
    <mergeCell ref="B32:B35"/>
    <mergeCell ref="G32:G35"/>
    <mergeCell ref="A36:A39"/>
    <mergeCell ref="B36:B39"/>
    <mergeCell ref="G36:G39"/>
    <mergeCell ref="A54:A57"/>
    <mergeCell ref="B54:B57"/>
    <mergeCell ref="G54:G57"/>
    <mergeCell ref="A58:A61"/>
    <mergeCell ref="B58:B61"/>
    <mergeCell ref="G58:G61"/>
    <mergeCell ref="D48:E48"/>
    <mergeCell ref="H48:I48"/>
    <mergeCell ref="D49:E49"/>
    <mergeCell ref="H49:I49"/>
    <mergeCell ref="A51:A53"/>
    <mergeCell ref="B51:K51"/>
    <mergeCell ref="B52:F52"/>
    <mergeCell ref="G52:K52"/>
    <mergeCell ref="A70:A73"/>
    <mergeCell ref="B70:B73"/>
    <mergeCell ref="G70:G73"/>
    <mergeCell ref="A74:A77"/>
    <mergeCell ref="B74:B77"/>
    <mergeCell ref="G74:G77"/>
    <mergeCell ref="A62:A65"/>
    <mergeCell ref="B62:B65"/>
    <mergeCell ref="G62:G65"/>
    <mergeCell ref="A66:A69"/>
    <mergeCell ref="B66:B69"/>
    <mergeCell ref="G66:G69"/>
    <mergeCell ref="A84:A87"/>
    <mergeCell ref="B84:B87"/>
    <mergeCell ref="G84:G87"/>
    <mergeCell ref="A88:A91"/>
    <mergeCell ref="B88:B91"/>
    <mergeCell ref="G88:G91"/>
    <mergeCell ref="D78:E78"/>
    <mergeCell ref="H78:I78"/>
    <mergeCell ref="D79:E79"/>
    <mergeCell ref="H79:I79"/>
    <mergeCell ref="A81:A83"/>
    <mergeCell ref="B81:K81"/>
    <mergeCell ref="B82:F82"/>
    <mergeCell ref="G82:K82"/>
    <mergeCell ref="A100:A103"/>
    <mergeCell ref="B100:B103"/>
    <mergeCell ref="G100:G103"/>
    <mergeCell ref="A104:A107"/>
    <mergeCell ref="B104:B107"/>
    <mergeCell ref="G104:G107"/>
    <mergeCell ref="A92:A95"/>
    <mergeCell ref="B92:B95"/>
    <mergeCell ref="G92:G95"/>
    <mergeCell ref="A96:A99"/>
    <mergeCell ref="B96:B99"/>
    <mergeCell ref="G96:G99"/>
    <mergeCell ref="A114:A117"/>
    <mergeCell ref="B114:B117"/>
    <mergeCell ref="G114:G117"/>
    <mergeCell ref="A118:A121"/>
    <mergeCell ref="B118:B121"/>
    <mergeCell ref="G118:G121"/>
    <mergeCell ref="D108:E108"/>
    <mergeCell ref="H108:I108"/>
    <mergeCell ref="D109:E109"/>
    <mergeCell ref="H109:I109"/>
    <mergeCell ref="A111:A113"/>
    <mergeCell ref="B111:K111"/>
    <mergeCell ref="B112:F112"/>
    <mergeCell ref="G112:K112"/>
    <mergeCell ref="A130:A133"/>
    <mergeCell ref="B130:B133"/>
    <mergeCell ref="G130:G133"/>
    <mergeCell ref="A134:A137"/>
    <mergeCell ref="B134:B137"/>
    <mergeCell ref="G134:G137"/>
    <mergeCell ref="A122:A125"/>
    <mergeCell ref="B122:B125"/>
    <mergeCell ref="G122:G125"/>
    <mergeCell ref="A126:A129"/>
    <mergeCell ref="B126:B129"/>
    <mergeCell ref="G126:G129"/>
    <mergeCell ref="A144:A147"/>
    <mergeCell ref="B144:B147"/>
    <mergeCell ref="G144:G147"/>
    <mergeCell ref="A148:A151"/>
    <mergeCell ref="B148:B151"/>
    <mergeCell ref="G148:G151"/>
    <mergeCell ref="D138:E138"/>
    <mergeCell ref="H138:I138"/>
    <mergeCell ref="D139:E139"/>
    <mergeCell ref="H139:I139"/>
    <mergeCell ref="A141:A143"/>
    <mergeCell ref="B141:K141"/>
    <mergeCell ref="B142:F142"/>
    <mergeCell ref="G142:K142"/>
    <mergeCell ref="A160:A163"/>
    <mergeCell ref="B160:B163"/>
    <mergeCell ref="G160:G163"/>
    <mergeCell ref="A164:A167"/>
    <mergeCell ref="B164:B167"/>
    <mergeCell ref="G164:G167"/>
    <mergeCell ref="A152:A155"/>
    <mergeCell ref="B152:B155"/>
    <mergeCell ref="G152:G155"/>
    <mergeCell ref="A156:A159"/>
    <mergeCell ref="B156:B159"/>
    <mergeCell ref="G156:G159"/>
    <mergeCell ref="A174:A177"/>
    <mergeCell ref="B174:B177"/>
    <mergeCell ref="G174:G177"/>
    <mergeCell ref="A178:A181"/>
    <mergeCell ref="B178:B181"/>
    <mergeCell ref="G178:G181"/>
    <mergeCell ref="D168:E168"/>
    <mergeCell ref="H168:I168"/>
    <mergeCell ref="D169:E169"/>
    <mergeCell ref="H169:I169"/>
    <mergeCell ref="A171:A173"/>
    <mergeCell ref="B171:K171"/>
    <mergeCell ref="B172:F172"/>
    <mergeCell ref="G172:K172"/>
    <mergeCell ref="A190:A193"/>
    <mergeCell ref="B190:B193"/>
    <mergeCell ref="G190:G193"/>
    <mergeCell ref="A194:A197"/>
    <mergeCell ref="B194:B197"/>
    <mergeCell ref="G194:G197"/>
    <mergeCell ref="A182:A185"/>
    <mergeCell ref="B182:B185"/>
    <mergeCell ref="G182:G185"/>
    <mergeCell ref="A186:A189"/>
    <mergeCell ref="B186:B189"/>
    <mergeCell ref="G186:G189"/>
    <mergeCell ref="A204:A207"/>
    <mergeCell ref="B204:B207"/>
    <mergeCell ref="G204:G207"/>
    <mergeCell ref="A208:A211"/>
    <mergeCell ref="B208:B211"/>
    <mergeCell ref="G208:G211"/>
    <mergeCell ref="D198:E198"/>
    <mergeCell ref="H198:I198"/>
    <mergeCell ref="D199:E199"/>
    <mergeCell ref="H199:I199"/>
    <mergeCell ref="A201:A203"/>
    <mergeCell ref="B201:K201"/>
    <mergeCell ref="B202:F202"/>
    <mergeCell ref="G202:K202"/>
    <mergeCell ref="A220:A223"/>
    <mergeCell ref="B220:B223"/>
    <mergeCell ref="G220:G223"/>
    <mergeCell ref="A224:A227"/>
    <mergeCell ref="B224:B227"/>
    <mergeCell ref="G224:G227"/>
    <mergeCell ref="A212:A215"/>
    <mergeCell ref="B212:B215"/>
    <mergeCell ref="G212:G215"/>
    <mergeCell ref="A216:A219"/>
    <mergeCell ref="B216:B219"/>
    <mergeCell ref="G216:G219"/>
    <mergeCell ref="A234:A237"/>
    <mergeCell ref="B234:B237"/>
    <mergeCell ref="G234:G237"/>
    <mergeCell ref="A238:A241"/>
    <mergeCell ref="B238:B241"/>
    <mergeCell ref="G238:G241"/>
    <mergeCell ref="D228:E228"/>
    <mergeCell ref="H228:I228"/>
    <mergeCell ref="D229:E229"/>
    <mergeCell ref="H229:I229"/>
    <mergeCell ref="A231:A233"/>
    <mergeCell ref="B231:K231"/>
    <mergeCell ref="B232:F232"/>
    <mergeCell ref="G232:K232"/>
    <mergeCell ref="A250:A253"/>
    <mergeCell ref="B250:B253"/>
    <mergeCell ref="G250:G253"/>
    <mergeCell ref="A254:A257"/>
    <mergeCell ref="B254:B257"/>
    <mergeCell ref="G254:G257"/>
    <mergeCell ref="A242:A245"/>
    <mergeCell ref="B242:B245"/>
    <mergeCell ref="G242:G245"/>
    <mergeCell ref="A246:A249"/>
    <mergeCell ref="B246:B249"/>
    <mergeCell ref="G246:G249"/>
    <mergeCell ref="A264:A267"/>
    <mergeCell ref="B264:B267"/>
    <mergeCell ref="G264:G267"/>
    <mergeCell ref="A268:A271"/>
    <mergeCell ref="B268:B271"/>
    <mergeCell ref="G268:G271"/>
    <mergeCell ref="D258:E258"/>
    <mergeCell ref="H258:I258"/>
    <mergeCell ref="D259:E259"/>
    <mergeCell ref="H259:I259"/>
    <mergeCell ref="A261:A263"/>
    <mergeCell ref="B261:K261"/>
    <mergeCell ref="B262:F262"/>
    <mergeCell ref="G262:K262"/>
    <mergeCell ref="A280:A283"/>
    <mergeCell ref="B280:B283"/>
    <mergeCell ref="G280:G283"/>
    <mergeCell ref="A284:A287"/>
    <mergeCell ref="B284:B287"/>
    <mergeCell ref="G284:G287"/>
    <mergeCell ref="A272:A275"/>
    <mergeCell ref="B272:B275"/>
    <mergeCell ref="G272:G275"/>
    <mergeCell ref="A276:A279"/>
    <mergeCell ref="B276:B279"/>
    <mergeCell ref="G276:G279"/>
    <mergeCell ref="A294:A297"/>
    <mergeCell ref="B294:B297"/>
    <mergeCell ref="G294:G297"/>
    <mergeCell ref="A298:A301"/>
    <mergeCell ref="B298:B301"/>
    <mergeCell ref="G298:G301"/>
    <mergeCell ref="D288:E288"/>
    <mergeCell ref="H288:I288"/>
    <mergeCell ref="D289:E289"/>
    <mergeCell ref="H289:I289"/>
    <mergeCell ref="A291:A293"/>
    <mergeCell ref="B291:K291"/>
    <mergeCell ref="B292:F292"/>
    <mergeCell ref="G292:K292"/>
    <mergeCell ref="A310:A313"/>
    <mergeCell ref="B310:B313"/>
    <mergeCell ref="G310:G313"/>
    <mergeCell ref="A314:A317"/>
    <mergeCell ref="B314:B317"/>
    <mergeCell ref="G314:G317"/>
    <mergeCell ref="A302:A305"/>
    <mergeCell ref="B302:B305"/>
    <mergeCell ref="G302:G305"/>
    <mergeCell ref="A306:A309"/>
    <mergeCell ref="B306:B309"/>
    <mergeCell ref="G306:G309"/>
    <mergeCell ref="A324:A327"/>
    <mergeCell ref="B324:B327"/>
    <mergeCell ref="G324:G327"/>
    <mergeCell ref="A328:A331"/>
    <mergeCell ref="B328:B331"/>
    <mergeCell ref="G328:G331"/>
    <mergeCell ref="D318:E318"/>
    <mergeCell ref="H318:I318"/>
    <mergeCell ref="D319:E319"/>
    <mergeCell ref="H319:I319"/>
    <mergeCell ref="A321:A323"/>
    <mergeCell ref="B321:K321"/>
    <mergeCell ref="B322:F322"/>
    <mergeCell ref="G322:K322"/>
    <mergeCell ref="A340:A343"/>
    <mergeCell ref="B340:B343"/>
    <mergeCell ref="G340:G343"/>
    <mergeCell ref="A344:A347"/>
    <mergeCell ref="B344:B347"/>
    <mergeCell ref="G344:G347"/>
    <mergeCell ref="A332:A335"/>
    <mergeCell ref="B332:B335"/>
    <mergeCell ref="G332:G335"/>
    <mergeCell ref="A336:A339"/>
    <mergeCell ref="B336:B339"/>
    <mergeCell ref="G336:G339"/>
    <mergeCell ref="A354:A357"/>
    <mergeCell ref="B354:B357"/>
    <mergeCell ref="G354:G357"/>
    <mergeCell ref="A358:A361"/>
    <mergeCell ref="B358:B361"/>
    <mergeCell ref="G358:G361"/>
    <mergeCell ref="D348:E348"/>
    <mergeCell ref="H348:I348"/>
    <mergeCell ref="D349:E349"/>
    <mergeCell ref="H349:I349"/>
    <mergeCell ref="A351:A353"/>
    <mergeCell ref="B351:K351"/>
    <mergeCell ref="B352:F352"/>
    <mergeCell ref="G352:K352"/>
    <mergeCell ref="A370:A373"/>
    <mergeCell ref="B370:B373"/>
    <mergeCell ref="G370:G373"/>
    <mergeCell ref="A374:A377"/>
    <mergeCell ref="B374:B377"/>
    <mergeCell ref="G374:G377"/>
    <mergeCell ref="A362:A365"/>
    <mergeCell ref="B362:B365"/>
    <mergeCell ref="G362:G365"/>
    <mergeCell ref="A366:A369"/>
    <mergeCell ref="B366:B369"/>
    <mergeCell ref="G366:G369"/>
    <mergeCell ref="A384:A387"/>
    <mergeCell ref="B384:B387"/>
    <mergeCell ref="G384:G387"/>
    <mergeCell ref="A388:A391"/>
    <mergeCell ref="B388:B391"/>
    <mergeCell ref="G388:G391"/>
    <mergeCell ref="D378:E378"/>
    <mergeCell ref="H378:I378"/>
    <mergeCell ref="D379:E379"/>
    <mergeCell ref="H379:I379"/>
    <mergeCell ref="A381:A383"/>
    <mergeCell ref="B381:K381"/>
    <mergeCell ref="B382:F382"/>
    <mergeCell ref="G382:K382"/>
    <mergeCell ref="D400:E400"/>
    <mergeCell ref="H400:I400"/>
    <mergeCell ref="D401:E401"/>
    <mergeCell ref="H401:I401"/>
    <mergeCell ref="A392:A395"/>
    <mergeCell ref="B392:B395"/>
    <mergeCell ref="G392:G395"/>
    <mergeCell ref="A396:A399"/>
    <mergeCell ref="B396:B399"/>
    <mergeCell ref="G396:G399"/>
  </mergeCells>
  <dataValidations count="2">
    <dataValidation type="list" allowBlank="1" showInputMessage="1" showErrorMessage="1" sqref="I114:I137 I384:I399 I354:I377 I324:I347 I294:I317 I264:I287 I234:I257 I204:I227 I174:I197 I144:I167 I54:I77 I24:I47 I84:I107 I6:I17" xr:uid="{00000000-0002-0000-0300-000000000000}">
      <formula1>#REF!</formula1>
    </dataValidation>
    <dataValidation type="list" allowBlank="1" showInputMessage="1" showErrorMessage="1" sqref="D114:E137 D384:E399 D354:E377 D324:E347 D294:E317 D264:E287 D234:E257 D204:E227 D174:E197 D144:E167 D54:E77 D24:E47 D84:E107 D6:E17" xr:uid="{00000000-0002-0000-03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"/>
  <sheetViews>
    <sheetView rightToLeft="1" workbookViewId="0">
      <selection activeCell="D29" sqref="D29"/>
    </sheetView>
  </sheetViews>
  <sheetFormatPr defaultRowHeight="14.25" x14ac:dyDescent="0.2"/>
  <cols>
    <col min="1" max="1" width="5.125" customWidth="1"/>
    <col min="2" max="2" width="8.625" customWidth="1"/>
    <col min="3" max="3" width="13" customWidth="1"/>
    <col min="4" max="4" width="16.25" customWidth="1"/>
    <col min="5" max="5" width="18.625" bestFit="1" customWidth="1"/>
    <col min="6" max="6" width="17.125" bestFit="1" customWidth="1"/>
    <col min="7" max="7" width="17.125" customWidth="1"/>
    <col min="8" max="8" width="20.625" bestFit="1" customWidth="1"/>
    <col min="9" max="9" width="17.625" customWidth="1"/>
    <col min="10" max="10" width="17.375" bestFit="1" customWidth="1"/>
    <col min="11" max="11" width="14.125" customWidth="1"/>
    <col min="14" max="14" width="12.5" bestFit="1" customWidth="1"/>
    <col min="15" max="16" width="10.5" bestFit="1" customWidth="1"/>
  </cols>
  <sheetData>
    <row r="2" spans="1:6" ht="15" thickBot="1" x14ac:dyDescent="0.25"/>
    <row r="3" spans="1:6" ht="20.25" x14ac:dyDescent="0.2">
      <c r="A3" s="123"/>
      <c r="B3" s="247" t="s">
        <v>26</v>
      </c>
      <c r="C3" s="248"/>
      <c r="D3" s="249"/>
      <c r="E3" s="123"/>
      <c r="F3" s="123"/>
    </row>
    <row r="4" spans="1:6" ht="20.25" x14ac:dyDescent="0.2">
      <c r="A4" s="124"/>
      <c r="B4" s="126" t="s">
        <v>29</v>
      </c>
      <c r="C4" s="127" t="s">
        <v>27</v>
      </c>
      <c r="D4" s="128" t="s">
        <v>28</v>
      </c>
      <c r="E4" s="124"/>
      <c r="F4" s="124"/>
    </row>
    <row r="5" spans="1:6" ht="20.25" x14ac:dyDescent="0.2">
      <c r="A5" s="124"/>
      <c r="B5" s="125" t="s">
        <v>30</v>
      </c>
      <c r="C5" s="129">
        <f>'الربع الأول 2024'!F2</f>
        <v>0.7</v>
      </c>
      <c r="D5" s="130">
        <f>'الربع الأول 2024'!J2</f>
        <v>0.67187499999999989</v>
      </c>
      <c r="E5" s="124"/>
      <c r="F5" s="124"/>
    </row>
    <row r="6" spans="1:6" ht="20.25" x14ac:dyDescent="0.2">
      <c r="A6" s="124"/>
      <c r="B6" s="125" t="s">
        <v>31</v>
      </c>
      <c r="C6" s="129">
        <f>'الربع الثاني 2024'!F1</f>
        <v>0.79523809523809508</v>
      </c>
      <c r="D6" s="130">
        <f>'الربع الثاني 2024'!J1</f>
        <v>0.77857142857142836</v>
      </c>
      <c r="E6" s="124"/>
      <c r="F6" s="124"/>
    </row>
    <row r="7" spans="1:6" ht="20.25" x14ac:dyDescent="0.2">
      <c r="A7" s="124"/>
      <c r="B7" s="125" t="s">
        <v>32</v>
      </c>
      <c r="C7" s="129">
        <f>'الربع الثالث 2024'!F1</f>
        <v>0.69791666666666663</v>
      </c>
      <c r="D7" s="130">
        <f>'الربع الثالث 2024'!J1</f>
        <v>0.67187499999999989</v>
      </c>
      <c r="E7" s="124"/>
      <c r="F7" s="124"/>
    </row>
    <row r="8" spans="1:6" ht="20.25" x14ac:dyDescent="0.2">
      <c r="A8" s="124"/>
      <c r="B8" s="125" t="s">
        <v>33</v>
      </c>
      <c r="C8" s="129">
        <f>'الربع الرابع 2024'!F2</f>
        <v>0.7</v>
      </c>
      <c r="D8" s="130">
        <f>'الربع الرابع 2024'!J2</f>
        <v>0.67708333333333315</v>
      </c>
      <c r="E8" s="124"/>
      <c r="F8" s="124"/>
    </row>
    <row r="9" spans="1:6" ht="39" customHeight="1" thickBot="1" x14ac:dyDescent="0.25">
      <c r="A9" s="124"/>
      <c r="B9" s="131" t="s">
        <v>34</v>
      </c>
      <c r="C9" s="132">
        <f>SUM(C5:C8)/4</f>
        <v>0.72328869047619038</v>
      </c>
      <c r="D9" s="133">
        <f>SUM(D5:D8)/4</f>
        <v>0.69985119047619027</v>
      </c>
      <c r="E9" s="124"/>
      <c r="F9" s="124"/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الربع الأول 2024</vt:lpstr>
      <vt:lpstr>الربع الثاني 2024</vt:lpstr>
      <vt:lpstr>الربع الثالث 2024</vt:lpstr>
      <vt:lpstr>الربع الرابع 2024</vt:lpstr>
      <vt:lpstr>التقييم الشامل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Eshtrakati5219</cp:lastModifiedBy>
  <dcterms:created xsi:type="dcterms:W3CDTF">2015-06-05T18:17:20Z</dcterms:created>
  <dcterms:modified xsi:type="dcterms:W3CDTF">2024-05-13T12:45:36Z</dcterms:modified>
</cp:coreProperties>
</file>